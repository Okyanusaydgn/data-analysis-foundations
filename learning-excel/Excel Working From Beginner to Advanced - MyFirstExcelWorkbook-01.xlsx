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foundations\learning-excel\"/>
    </mc:Choice>
  </mc:AlternateContent>
  <xr:revisionPtr revIDLastSave="0" documentId="13_ncr:1_{D0EBF606-9660-47CF-9E4F-C774F63210AC}" xr6:coauthVersionLast="47" xr6:coauthVersionMax="47" xr10:uidLastSave="{00000000-0000-0000-0000-000000000000}"/>
  <bookViews>
    <workbookView xWindow="19095" yWindow="0" windowWidth="19410" windowHeight="15585" xr2:uid="{4EC8B933-5C16-44B8-8BD1-3B03B4E7E629}"/>
  </bookViews>
  <sheets>
    <sheet name="Credit card log" sheetId="17" r:id="rId1"/>
    <sheet name="Chart Monthly Budget" sheetId="14" r:id="rId2"/>
    <sheet name="Monthly Budget " sheetId="12" r:id="rId3"/>
    <sheet name="Monthly Budget - Print Setting" sheetId="15" r:id="rId4"/>
  </sheets>
  <definedNames>
    <definedName name="ColumnTitle1">Data[[#Headers],[Date]]</definedName>
    <definedName name="LastCol">MATCH(REPT("z",255),#REF!)</definedName>
    <definedName name="LastRow">MATCH(9.99E+307,#REF!)</definedName>
    <definedName name="_xlnm.Print_Titles" localSheetId="0">'Credit card log'!$3:$3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7" l="1"/>
  <c r="G10" i="17"/>
  <c r="G4" i="17"/>
  <c r="G5" i="17"/>
  <c r="G6" i="17"/>
  <c r="G7" i="17"/>
  <c r="G8" i="17"/>
  <c r="G9" i="17"/>
  <c r="D12" i="17"/>
  <c r="F12" i="17"/>
  <c r="E32" i="15"/>
  <c r="D32" i="15"/>
  <c r="C32" i="15"/>
  <c r="E31" i="15"/>
  <c r="D31" i="15"/>
  <c r="C31" i="15"/>
  <c r="E30" i="15"/>
  <c r="D30" i="15"/>
  <c r="C30" i="15"/>
  <c r="E29" i="15"/>
  <c r="D29" i="15"/>
  <c r="C29" i="15"/>
  <c r="E27" i="15"/>
  <c r="D27" i="15"/>
  <c r="C27" i="15"/>
  <c r="F26" i="15"/>
  <c r="F25" i="15"/>
  <c r="F24" i="15"/>
  <c r="F23" i="15"/>
  <c r="F22" i="15"/>
  <c r="F21" i="15"/>
  <c r="E17" i="12"/>
  <c r="D17" i="12"/>
  <c r="C17" i="12"/>
  <c r="E16" i="12"/>
  <c r="D16" i="12"/>
  <c r="C16" i="12"/>
  <c r="E15" i="12"/>
  <c r="D15" i="12"/>
  <c r="C15" i="12"/>
  <c r="E14" i="12"/>
  <c r="D14" i="12"/>
  <c r="C14" i="12"/>
  <c r="E12" i="12"/>
  <c r="D12" i="12"/>
  <c r="C12" i="12"/>
  <c r="F11" i="12"/>
  <c r="F10" i="12"/>
  <c r="F9" i="12"/>
  <c r="F8" i="12"/>
  <c r="F7" i="12"/>
  <c r="F6" i="12"/>
  <c r="F29" i="15" l="1"/>
  <c r="F27" i="15"/>
  <c r="F31" i="15"/>
  <c r="F30" i="15"/>
  <c r="F32" i="15"/>
  <c r="F12" i="12"/>
  <c r="F17" i="12"/>
  <c r="F15" i="12"/>
  <c r="F14" i="12"/>
  <c r="F16" i="12"/>
  <c r="G27" i="15" l="1"/>
  <c r="G26" i="15"/>
  <c r="G24" i="15"/>
  <c r="G21" i="15"/>
  <c r="G22" i="15"/>
  <c r="G25" i="15"/>
  <c r="G23" i="15"/>
  <c r="G12" i="12"/>
  <c r="G11" i="12"/>
  <c r="G7" i="12"/>
  <c r="G10" i="12"/>
  <c r="G9" i="12"/>
  <c r="G8" i="12"/>
  <c r="G6" i="12"/>
</calcChain>
</file>

<file path=xl/sharedStrings.xml><?xml version="1.0" encoding="utf-8"?>
<sst xmlns="http://schemas.openxmlformats.org/spreadsheetml/2006/main" count="56" uniqueCount="33">
  <si>
    <t>Bills</t>
  </si>
  <si>
    <t>Credit Card</t>
  </si>
  <si>
    <t>Water</t>
  </si>
  <si>
    <t>Electric</t>
  </si>
  <si>
    <t>Market</t>
  </si>
  <si>
    <t>Mom's phone</t>
  </si>
  <si>
    <t>Total</t>
  </si>
  <si>
    <t>Percent</t>
  </si>
  <si>
    <t>MIN</t>
  </si>
  <si>
    <t>MAX</t>
  </si>
  <si>
    <t>AVERAGE</t>
  </si>
  <si>
    <t>COUNT</t>
  </si>
  <si>
    <t>Online Shopping</t>
  </si>
  <si>
    <t>Monthly Budget</t>
  </si>
  <si>
    <t>*(does not include interest)</t>
  </si>
  <si>
    <t>Balance*</t>
  </si>
  <si>
    <t>Transaction fees</t>
  </si>
  <si>
    <t>Merchant name</t>
  </si>
  <si>
    <t>Amount</t>
  </si>
  <si>
    <t>Description</t>
  </si>
  <si>
    <t>Date</t>
  </si>
  <si>
    <t>Enter payments as negative amounts in table, below.</t>
  </si>
  <si>
    <t>Credit Card Name</t>
  </si>
  <si>
    <t>Devreden Bakiye</t>
  </si>
  <si>
    <t>Akbank</t>
  </si>
  <si>
    <t>Market + fatura</t>
  </si>
  <si>
    <t>Çeşitli</t>
  </si>
  <si>
    <t>Alışveriş</t>
  </si>
  <si>
    <t>Yeme-İçme + günlük</t>
  </si>
  <si>
    <t>Diğer</t>
  </si>
  <si>
    <t>İşsizlik maaşı ile ödeme</t>
  </si>
  <si>
    <t>Kardeş maaşı ile ödeme</t>
  </si>
  <si>
    <t>Emekli ile ödeme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</si>
</sst>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-&quot;₺&quot;* #,##0_-;\-&quot;₺&quot;* #,##0_-;_-&quot;₺&quot;* &quot;-&quot;_-;_-@_-"/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[$-409]mmmm\-yy;@"/>
    <numFmt numFmtId="165" formatCode="_-[$€-2]\ * #,##0.00_-;\-[$€-2]\ * #,##0.00_-;_-[$€-2]\ * &quot;-&quot;??_-;_-@_-"/>
    <numFmt numFmtId="166" formatCode="0.0%"/>
    <numFmt numFmtId="167" formatCode="&quot;$&quot;#,##0.00"/>
    <numFmt numFmtId="168" formatCode="[$₺-41F]#,##0.00"/>
  </numFmts>
  <fonts count="19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  <font>
      <b/>
      <sz val="24"/>
      <color theme="0"/>
      <name val="Arial Black"/>
      <family val="2"/>
      <charset val="162"/>
    </font>
    <font>
      <b/>
      <sz val="12"/>
      <color theme="0"/>
      <name val="Aptos Narrow"/>
      <family val="2"/>
      <charset val="162"/>
      <scheme val="minor"/>
    </font>
    <font>
      <sz val="11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theme="1"/>
      <name val="Aptos Narrow"/>
      <family val="2"/>
      <scheme val="minor"/>
    </font>
    <font>
      <i/>
      <sz val="11"/>
      <color theme="1" tint="0.34998626667073579"/>
      <name val="Aptos Narrow"/>
      <family val="2"/>
      <scheme val="minor"/>
    </font>
    <font>
      <b/>
      <sz val="14"/>
      <color theme="1" tint="0.24994659260841701"/>
      <name val="Calibri"/>
      <family val="2"/>
    </font>
    <font>
      <b/>
      <sz val="16"/>
      <color rgb="FF0070C0"/>
      <name val="Calibri"/>
      <family val="2"/>
    </font>
    <font>
      <i/>
      <sz val="12"/>
      <color theme="1"/>
      <name val="Aptos Narrow"/>
      <family val="2"/>
      <charset val="238"/>
      <scheme val="minor"/>
    </font>
    <font>
      <b/>
      <sz val="12"/>
      <color theme="1" tint="0.24994659260841701"/>
      <name val="Aptos Narrow"/>
      <family val="2"/>
      <charset val="238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Display"/>
      <family val="1"/>
      <scheme val="major"/>
    </font>
    <font>
      <i/>
      <sz val="11"/>
      <color theme="1" tint="0.34998626667073579"/>
      <name val="Aptos Display"/>
      <family val="2"/>
      <scheme val="major"/>
    </font>
    <font>
      <b/>
      <sz val="14"/>
      <color theme="1"/>
      <name val="Aptos Display"/>
      <family val="1"/>
      <scheme val="major"/>
    </font>
    <font>
      <sz val="36"/>
      <color theme="4" tint="-0.499984740745262"/>
      <name val="Aptos Display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medium">
        <color theme="4" tint="-0.499984740745262"/>
      </bottom>
      <diagonal/>
    </border>
  </borders>
  <cellStyleXfs count="2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4" borderId="2" applyNumberFormat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5" fillId="0" borderId="0"/>
    <xf numFmtId="167" fontId="6" fillId="6" borderId="0" applyFont="0" applyFill="0" applyBorder="0" applyProtection="0">
      <alignment horizontal="right" indent="2"/>
    </xf>
    <xf numFmtId="14" fontId="6" fillId="0" borderId="0" applyFont="0" applyFill="0" applyBorder="0" applyAlignment="0"/>
    <xf numFmtId="1" fontId="6" fillId="5" borderId="0" applyFont="0" applyFill="0" applyBorder="0" applyAlignment="0"/>
    <xf numFmtId="0" fontId="7" fillId="0" borderId="4" applyNumberFormat="0" applyFill="0" applyProtection="0">
      <alignment vertical="center"/>
    </xf>
    <xf numFmtId="167" fontId="6" fillId="6" borderId="0" applyFont="0" applyFill="0" applyBorder="0" applyAlignment="0" applyProtection="0"/>
    <xf numFmtId="0" fontId="9" fillId="0" borderId="5" applyNumberFormat="0" applyProtection="0">
      <alignment vertical="center"/>
    </xf>
    <xf numFmtId="0" fontId="6" fillId="5" borderId="0" applyNumberFormat="0" applyFont="0" applyAlignment="0">
      <alignment horizontal="center" vertical="center" wrapText="1"/>
    </xf>
    <xf numFmtId="10" fontId="5" fillId="0" borderId="0" applyFont="0" applyFill="0" applyBorder="0" applyAlignment="0" applyProtection="0"/>
    <xf numFmtId="0" fontId="10" fillId="0" borderId="6" applyNumberFormat="0" applyFill="0" applyProtection="0">
      <alignment vertical="center"/>
    </xf>
    <xf numFmtId="0" fontId="11" fillId="2" borderId="0" applyFill="0" applyBorder="0" applyProtection="0">
      <alignment horizontal="left" vertical="center" wrapText="1" indent="1"/>
    </xf>
    <xf numFmtId="0" fontId="6" fillId="0" borderId="0">
      <alignment vertical="center" wrapText="1"/>
    </xf>
    <xf numFmtId="167" fontId="6" fillId="0" borderId="0" applyFont="0" applyFill="0" applyBorder="0" applyProtection="0">
      <alignment horizontal="right" vertical="center" indent="1"/>
    </xf>
    <xf numFmtId="167" fontId="6" fillId="0" borderId="0" applyFont="0" applyFill="0" applyBorder="0" applyProtection="0">
      <alignment horizontal="right" vertical="center"/>
    </xf>
    <xf numFmtId="14" fontId="6" fillId="0" borderId="0" applyFont="0" applyFill="0" applyBorder="0">
      <alignment horizontal="left" vertical="center"/>
    </xf>
    <xf numFmtId="0" fontId="14" fillId="4" borderId="0">
      <alignment horizontal="center" vertical="center" wrapText="1"/>
    </xf>
    <xf numFmtId="0" fontId="16" fillId="0" borderId="0" applyNumberFormat="0" applyFill="0" applyProtection="0">
      <alignment vertical="center"/>
    </xf>
    <xf numFmtId="0" fontId="18" fillId="0" borderId="3" applyNumberFormat="0" applyFill="0" applyProtection="0">
      <alignment vertical="center"/>
    </xf>
  </cellStyleXfs>
  <cellXfs count="29">
    <xf numFmtId="0" fontId="0" fillId="0" borderId="0" xfId="0"/>
    <xf numFmtId="9" fontId="0" fillId="0" borderId="0" xfId="1" applyFont="1"/>
    <xf numFmtId="165" fontId="0" fillId="0" borderId="0" xfId="0" applyNumberFormat="1"/>
    <xf numFmtId="43" fontId="0" fillId="0" borderId="0" xfId="2" applyFont="1"/>
    <xf numFmtId="166" fontId="0" fillId="0" borderId="0" xfId="1" applyNumberFormat="1" applyFont="1"/>
    <xf numFmtId="0" fontId="2" fillId="3" borderId="0" xfId="0" applyFont="1" applyFill="1" applyAlignment="1">
      <alignment horizontal="right"/>
    </xf>
    <xf numFmtId="0" fontId="4" fillId="4" borderId="2" xfId="3"/>
    <xf numFmtId="164" fontId="4" fillId="4" borderId="2" xfId="3" applyNumberFormat="1"/>
    <xf numFmtId="17" fontId="4" fillId="4" borderId="2" xfId="3" applyNumberFormat="1"/>
    <xf numFmtId="0" fontId="3" fillId="2" borderId="1" xfId="0" applyFont="1" applyFill="1" applyBorder="1" applyAlignment="1">
      <alignment horizontal="center"/>
    </xf>
    <xf numFmtId="0" fontId="6" fillId="0" borderId="0" xfId="17">
      <alignment vertical="center" wrapText="1"/>
    </xf>
    <xf numFmtId="0" fontId="12" fillId="0" borderId="0" xfId="17" applyFont="1" applyAlignment="1">
      <alignment horizontal="right" vertical="center"/>
    </xf>
    <xf numFmtId="0" fontId="12" fillId="0" borderId="0" xfId="17" applyFont="1">
      <alignment vertical="center" wrapText="1"/>
    </xf>
    <xf numFmtId="167" fontId="8" fillId="0" borderId="0" xfId="18" applyFont="1">
      <alignment horizontal="right" vertical="center" indent="1"/>
    </xf>
    <xf numFmtId="0" fontId="8" fillId="0" borderId="0" xfId="17" applyFont="1">
      <alignment vertical="center" wrapText="1"/>
    </xf>
    <xf numFmtId="14" fontId="8" fillId="0" borderId="0" xfId="20" applyFont="1" applyAlignment="1">
      <alignment horizontal="center" vertical="center"/>
    </xf>
    <xf numFmtId="0" fontId="15" fillId="0" borderId="0" xfId="21" applyFont="1" applyFill="1">
      <alignment horizontal="center" vertical="center" wrapText="1"/>
    </xf>
    <xf numFmtId="0" fontId="15" fillId="8" borderId="0" xfId="17" applyFont="1" applyFill="1" applyAlignment="1">
      <alignment horizontal="center" vertical="center" wrapText="1"/>
    </xf>
    <xf numFmtId="0" fontId="17" fillId="0" borderId="0" xfId="22" applyFont="1">
      <alignment vertical="center"/>
    </xf>
    <xf numFmtId="0" fontId="18" fillId="7" borderId="0" xfId="23" applyFill="1" applyBorder="1">
      <alignment vertical="center"/>
    </xf>
    <xf numFmtId="0" fontId="8" fillId="0" borderId="0" xfId="0" applyFont="1" applyFill="1"/>
    <xf numFmtId="0" fontId="13" fillId="0" borderId="0" xfId="0" applyNumberFormat="1" applyFont="1" applyFill="1" applyBorder="1" applyAlignment="1" applyProtection="1">
      <alignment horizontal="right" vertical="center" wrapText="1"/>
    </xf>
    <xf numFmtId="0" fontId="13" fillId="0" borderId="0" xfId="0" applyNumberFormat="1" applyFont="1" applyFill="1" applyBorder="1" applyAlignment="1" applyProtection="1">
      <alignment vertical="center" wrapText="1"/>
    </xf>
    <xf numFmtId="167" fontId="13" fillId="0" borderId="0" xfId="0" applyNumberFormat="1" applyFont="1" applyAlignment="1">
      <alignment horizontal="right" vertical="center" indent="1"/>
    </xf>
    <xf numFmtId="167" fontId="13" fillId="0" borderId="0" xfId="0" applyNumberFormat="1" applyFont="1" applyFill="1" applyBorder="1" applyAlignment="1" applyProtection="1">
      <alignment vertical="center" wrapText="1"/>
    </xf>
    <xf numFmtId="168" fontId="8" fillId="0" borderId="0" xfId="18" applyNumberFormat="1" applyFont="1">
      <alignment horizontal="right" vertical="center" indent="1"/>
    </xf>
    <xf numFmtId="168" fontId="8" fillId="0" borderId="0" xfId="4" applyNumberFormat="1" applyFont="1" applyAlignment="1">
      <alignment horizontal="right" vertical="center" indent="1"/>
    </xf>
    <xf numFmtId="168" fontId="8" fillId="0" borderId="0" xfId="19" applyNumberFormat="1" applyFont="1" applyFill="1">
      <alignment horizontal="right" vertical="center"/>
    </xf>
    <xf numFmtId="168" fontId="8" fillId="0" borderId="0" xfId="5" applyNumberFormat="1" applyFont="1" applyFill="1" applyAlignment="1">
      <alignment horizontal="right" vertical="center"/>
    </xf>
  </cellXfs>
  <cellStyles count="24">
    <cellStyle name="Amount" xfId="11" xr:uid="{067CDA47-A9D5-42FB-8A34-63C555C1FADF}"/>
    <cellStyle name="AwesomeStyle" xfId="3" xr:uid="{65150C0F-7736-4FBF-89DC-FF58D6DB8DAA}"/>
    <cellStyle name="Comma" xfId="2" builtinId="3"/>
    <cellStyle name="Currency" xfId="4" builtinId="4"/>
    <cellStyle name="Currency [0]" xfId="5" builtinId="7"/>
    <cellStyle name="Currency [0] 2" xfId="19" xr:uid="{5D0D245E-2F0D-4E21-8C61-3992C518CE96}"/>
    <cellStyle name="Currency 2" xfId="18" xr:uid="{926980A8-E041-4CB0-894A-29AB88A2BD9E}"/>
    <cellStyle name="Date" xfId="8" xr:uid="{25F744EB-DC48-4D89-AFC7-801DD2C78B12}"/>
    <cellStyle name="Date 2" xfId="20" xr:uid="{38E01BA8-2E42-474B-9AAA-8A3DC09FFD01}"/>
    <cellStyle name="Explanatory Text 2" xfId="12" xr:uid="{36721F1D-A737-4058-85A5-1A04265658BF}"/>
    <cellStyle name="Heading 1 2" xfId="22" xr:uid="{ACF47221-4F9F-43DB-8504-050D7F08E350}"/>
    <cellStyle name="Heading 2 2" xfId="15" xr:uid="{81E962D4-319E-42CF-9B0E-E90F78347BB1}"/>
    <cellStyle name="Heading 2 3" xfId="21" xr:uid="{D1913F80-4B17-4F15-8B2D-E41287E263A1}"/>
    <cellStyle name="Heading 3 2" xfId="10" xr:uid="{2D1BF034-0522-4466-9946-0BE44C63059E}"/>
    <cellStyle name="Heading 4 Right aligned" xfId="16" xr:uid="{2CE340C6-44BE-4140-B10F-897F4DA2BB0A}"/>
    <cellStyle name="Loan Summary" xfId="13" xr:uid="{0180723F-9657-4B16-B29F-4C066C3E8BF7}"/>
    <cellStyle name="Normal" xfId="0" builtinId="0"/>
    <cellStyle name="Normal 2" xfId="6" xr:uid="{C1330DF8-C5F4-46C7-BAFE-F5711B60157F}"/>
    <cellStyle name="Normal 3" xfId="17" xr:uid="{7586D2E5-82AE-430B-BA29-EF0914C24989}"/>
    <cellStyle name="Number" xfId="9" xr:uid="{7E2D30BE-C2D2-4D7A-8DD3-ADB26E3534FA}"/>
    <cellStyle name="Percent" xfId="1" builtinId="5"/>
    <cellStyle name="Percent 2" xfId="14" xr:uid="{8B497EA1-7954-47E8-990D-E6A99301CE83}"/>
    <cellStyle name="Table Amount" xfId="7" xr:uid="{79E33E4A-2F9C-4099-A328-91B9FD2F580E}"/>
    <cellStyle name="Title 2" xfId="23" xr:uid="{FE0C7761-2F05-42B5-8B23-D4DD8A581DE8}"/>
  </cellStyles>
  <dxfs count="26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Aptos Narrow"/>
        <family val="2"/>
        <charset val="238"/>
        <scheme val="minor"/>
      </font>
      <numFmt numFmtId="167" formatCode="&quot;$&quot;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Aptos Narrow"/>
        <family val="2"/>
        <charset val="238"/>
        <scheme val="minor"/>
      </font>
      <numFmt numFmtId="167" formatCode="&quot;$&quot;#,##0.00"/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Aptos Narrow"/>
        <family val="2"/>
        <charset val="238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Aptos Narrow"/>
        <family val="2"/>
        <charset val="238"/>
        <scheme val="minor"/>
      </font>
      <numFmt numFmtId="167" formatCode="&quot;$&quot;#,##0.00"/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Aptos Narrow"/>
        <family val="2"/>
        <charset val="238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Aptos Narrow"/>
        <family val="2"/>
        <charset val="238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8" formatCode="[$₺-41F]#,##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8" formatCode="[$₺-41F]#,##0.0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charset val="238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Aptos Display"/>
        <family val="1"/>
        <scheme val="major"/>
      </font>
      <fill>
        <patternFill>
          <fgColor indexed="64"/>
          <bgColor theme="6" tint="-0.249977111117893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border>
        <top style="mediumDashed">
          <color auto="1"/>
        </top>
      </border>
    </dxf>
    <dxf>
      <border>
        <top style="medium">
          <color auto="1"/>
        </top>
        <bottom style="medium">
          <color auto="1"/>
        </bottom>
      </border>
    </dxf>
    <dxf>
      <font>
        <color theme="1"/>
      </font>
      <border>
        <top style="medium">
          <color theme="0"/>
        </top>
        <bottom style="medium">
          <color theme="0"/>
        </bottom>
        <horizontal style="medium">
          <color theme="0"/>
        </horizontal>
      </border>
    </dxf>
    <dxf>
      <font>
        <color theme="1" tint="0.24994659260841701"/>
      </font>
      <border>
        <top style="double">
          <color theme="4"/>
        </top>
      </border>
    </dxf>
    <dxf>
      <font>
        <b/>
        <i val="0"/>
        <color theme="1" tint="0.34998626667073579"/>
      </font>
      <fill>
        <patternFill patternType="none">
          <fgColor indexed="64"/>
          <bgColor auto="1"/>
        </patternFill>
      </fill>
      <border>
        <left/>
        <right/>
        <top/>
        <bottom style="thin">
          <color auto="1"/>
        </bottom>
        <vertical style="thin">
          <color theme="2" tint="-9.9948118533890809E-2"/>
        </vertical>
        <horizontal style="thin">
          <color theme="2" tint="-9.9948118533890809E-2"/>
        </horizontal>
      </border>
    </dxf>
    <dxf>
      <font>
        <color theme="1" tint="0.24994659260841701"/>
      </font>
      <border>
        <left/>
        <right/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</dxfs>
  <tableStyles count="2" defaultTableStyle="TableStyleMedium2" defaultPivotStyle="PivotStyleLight16">
    <tableStyle name="Loan Amortization Schedule" pivot="0" count="3" xr9:uid="{68D86AE2-33E2-466F-A3D3-12AE868A916E}">
      <tableStyleElement type="wholeTable" dxfId="25"/>
      <tableStyleElement type="headerRow" dxfId="24"/>
      <tableStyleElement type="totalRow" dxfId="23"/>
    </tableStyle>
    <tableStyle name="Table Style 1" pivot="0" count="6" xr9:uid="{A2562EC2-7814-4264-B617-2D493C35B01F}">
      <tableStyleElement type="wholeTable" dxfId="22"/>
      <tableStyleElement type="headerRow" dxfId="21"/>
      <tableStyleElement type="totalRow" dxfId="20"/>
      <tableStyleElement type="lastColumn" dxfId="19"/>
      <tableStyleElement type="firstRowStripe" dxfId="18"/>
      <tableStyleElement type="lastTotalCell" dxfId="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 '!$B$3:$G$3</c:f>
          <c:strCache>
            <c:ptCount val="6"/>
            <c:pt idx="0">
              <c:v>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'Monthly Budget '!$C$5</c:f>
              <c:strCache>
                <c:ptCount val="1"/>
                <c:pt idx="0">
                  <c:v>January-24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'!$C$6:$C$11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48000</c:v>
                </c:pt>
                <c:pt idx="1">
                  <c:v>1000</c:v>
                </c:pt>
                <c:pt idx="2">
                  <c:v>350</c:v>
                </c:pt>
                <c:pt idx="3">
                  <c:v>1500</c:v>
                </c:pt>
                <c:pt idx="4">
                  <c:v>22000</c:v>
                </c:pt>
                <c:pt idx="5">
                  <c:v>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8B-4B62-9AD4-73F28ED6B6AB}"/>
            </c:ext>
          </c:extLst>
        </c:ser>
        <c:ser>
          <c:idx val="1"/>
          <c:order val="1"/>
          <c:tx>
            <c:strRef>
              <c:f>'Monthly Budget '!$D$5</c:f>
              <c:strCache>
                <c:ptCount val="1"/>
                <c:pt idx="0">
                  <c:v>February-24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'!$D$6:$D$11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25000</c:v>
                </c:pt>
                <c:pt idx="1">
                  <c:v>950</c:v>
                </c:pt>
                <c:pt idx="2">
                  <c:v>4324</c:v>
                </c:pt>
                <c:pt idx="3">
                  <c:v>1500</c:v>
                </c:pt>
                <c:pt idx="4">
                  <c:v>22000</c:v>
                </c:pt>
                <c:pt idx="5">
                  <c:v>5850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8B-4B62-9AD4-73F28ED6B6AB}"/>
            </c:ext>
          </c:extLst>
        </c:ser>
        <c:ser>
          <c:idx val="2"/>
          <c:order val="2"/>
          <c:tx>
            <c:strRef>
              <c:f>'Monthly Budget '!$E$5</c:f>
              <c:strCache>
                <c:ptCount val="1"/>
                <c:pt idx="0">
                  <c:v>March-25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'!$E$6:$E$11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35000</c:v>
                </c:pt>
                <c:pt idx="1">
                  <c:v>950</c:v>
                </c:pt>
                <c:pt idx="2">
                  <c:v>120</c:v>
                </c:pt>
                <c:pt idx="3">
                  <c:v>1400</c:v>
                </c:pt>
                <c:pt idx="4">
                  <c:v>24000</c:v>
                </c:pt>
                <c:pt idx="5">
                  <c:v>5350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8B-4B62-9AD4-73F28ED6B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48915424"/>
        <c:axId val="348914944"/>
        <c:axId val="0"/>
      </c:bar3DChart>
      <c:catAx>
        <c:axId val="34891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914944"/>
        <c:crosses val="autoZero"/>
        <c:auto val="1"/>
        <c:lblAlgn val="ctr"/>
        <c:lblOffset val="100"/>
        <c:noMultiLvlLbl val="0"/>
      </c:catAx>
      <c:valAx>
        <c:axId val="34891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91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  <a:scene3d>
      <a:camera prst="orthographicFront"/>
      <a:lightRig rig="threePt" dir="t"/>
    </a:scene3d>
    <a:sp3d prstMaterial="dkEdge"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 '!$B$3:$G$3</c:f>
          <c:strCache>
            <c:ptCount val="6"/>
            <c:pt idx="0">
              <c:v>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'Monthly Budget '!$C$5</c:f>
              <c:strCache>
                <c:ptCount val="1"/>
                <c:pt idx="0">
                  <c:v>January-24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4FF8-4279-8E19-CBFB577021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FF8-4279-8E19-CBFB577021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4FF8-4279-8E19-CBFB577021F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FF8-4279-8E19-CBFB577021F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4FF8-4279-8E19-CBFB577021F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FF8-4279-8E19-CBFB577021F1}"/>
              </c:ext>
            </c:extLst>
          </c:dPt>
          <c:dLbls>
            <c:dLbl>
              <c:idx val="0"/>
              <c:layout>
                <c:manualLayout>
                  <c:x val="3.5772872808694768E-2"/>
                  <c:y val="2.1328950355328558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FF8-4279-8E19-CBFB577021F1}"/>
                </c:ext>
              </c:extLst>
            </c:dLbl>
            <c:dLbl>
              <c:idx val="1"/>
              <c:layout>
                <c:manualLayout>
                  <c:x val="5.7175563466424752E-2"/>
                  <c:y val="3.8854793212954708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FF8-4279-8E19-CBFB577021F1}"/>
                </c:ext>
              </c:extLst>
            </c:dLbl>
            <c:dLbl>
              <c:idx val="2"/>
              <c:layout>
                <c:manualLayout>
                  <c:x val="-5.0203030189897462E-2"/>
                  <c:y val="2.8629847630598167E-2"/>
                </c:manualLayout>
              </c:layout>
              <c:tx>
                <c:rich>
                  <a:bodyPr rot="0" spcFirstLastPara="1" vertOverflow="overflow" horzOverflow="overflow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9F4B49C-04F2-4601-A3C2-81711EE6DA8D}" type="CATEGORYNAME">
                      <a:rPr lang="en-US" sz="900"/>
                      <a:pPr>
                        <a:defRPr sz="9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r>
                      <a:rPr lang="en-US" sz="900" baseline="0"/>
                      <a:t>
</a:t>
                    </a:r>
                    <a:fld id="{E9D08D94-ADB8-49CF-8815-33702038E60E}" type="PERCENTAGE">
                      <a:rPr lang="en-US" sz="900" baseline="0"/>
                      <a:pPr>
                        <a:defRPr sz="900"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sz="900" baseline="0"/>
                  </a:p>
                </c:rich>
              </c:tx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FF8-4279-8E19-CBFB577021F1}"/>
                </c:ext>
              </c:extLst>
            </c:dLbl>
            <c:dLbl>
              <c:idx val="3"/>
              <c:layout>
                <c:manualLayout>
                  <c:x val="-6.693726378112709E-2"/>
                  <c:y val="-6.9529629960024639E-2"/>
                </c:manualLayout>
              </c:layout>
              <c:tx>
                <c:rich>
                  <a:bodyPr rot="0" spcFirstLastPara="1" vertOverflow="overflow" horzOverflow="overflow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C98C88E-E722-4F5A-92AF-2749FF11E031}" type="CATEGORYNAME">
                      <a:rPr lang="en-US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r>
                      <a:rPr lang="en-US" baseline="0"/>
                      <a:t>
</a:t>
                    </a:r>
                    <a:fld id="{E794BE84-85AD-4E40-8CD4-C26E0630E6E1}" type="PERCENTAGE">
                      <a:rPr lang="en-US" sz="800" baseline="0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baseline="0"/>
                  </a:p>
                </c:rich>
              </c:tx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FF8-4279-8E19-CBFB577021F1}"/>
                </c:ext>
              </c:extLst>
            </c:dLbl>
            <c:dLbl>
              <c:idx val="4"/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C-4FF8-4279-8E19-CBFB577021F1}"/>
                </c:ext>
              </c:extLst>
            </c:dLbl>
            <c:dLbl>
              <c:idx val="5"/>
              <c:layout>
                <c:manualLayout>
                  <c:x val="-0.12055934819268992"/>
                  <c:y val="2.4711912218773467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385033982062431"/>
                      <c:h val="0.100992579932480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FF8-4279-8E19-CBFB577021F1}"/>
                </c:ext>
              </c:extLst>
            </c:dLbl>
            <c:spPr>
              <a:ln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'!$C$6:$C$11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48000</c:v>
                </c:pt>
                <c:pt idx="1">
                  <c:v>1000</c:v>
                </c:pt>
                <c:pt idx="2">
                  <c:v>350</c:v>
                </c:pt>
                <c:pt idx="3">
                  <c:v>1500</c:v>
                </c:pt>
                <c:pt idx="4">
                  <c:v>22000</c:v>
                </c:pt>
                <c:pt idx="5">
                  <c:v>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8-4279-8E19-CBFB577021F1}"/>
            </c:ext>
          </c:extLst>
        </c:ser>
        <c:ser>
          <c:idx val="1"/>
          <c:order val="1"/>
          <c:tx>
            <c:strRef>
              <c:f>'Monthly Budget '!$D$5</c:f>
              <c:strCache>
                <c:ptCount val="1"/>
                <c:pt idx="0">
                  <c:v>February-24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FF8-4279-8E19-CBFB577021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4FF8-4279-8E19-CBFB577021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FF8-4279-8E19-CBFB577021F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4FF8-4279-8E19-CBFB577021F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FF8-4279-8E19-CBFB577021F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4FF8-4279-8E19-CBFB577021F1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4FF8-4279-8E19-CBFB577021F1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4FF8-4279-8E19-CBFB577021F1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1-4FF8-4279-8E19-CBFB577021F1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4FF8-4279-8E19-CBFB577021F1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3-4FF8-4279-8E19-CBFB577021F1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4-4FF8-4279-8E19-CBFB577021F1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'!$D$6:$D$11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25000</c:v>
                </c:pt>
                <c:pt idx="1">
                  <c:v>950</c:v>
                </c:pt>
                <c:pt idx="2">
                  <c:v>4324</c:v>
                </c:pt>
                <c:pt idx="3">
                  <c:v>1500</c:v>
                </c:pt>
                <c:pt idx="4">
                  <c:v>22000</c:v>
                </c:pt>
                <c:pt idx="5">
                  <c:v>5850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F8-4279-8E19-CBFB577021F1}"/>
            </c:ext>
          </c:extLst>
        </c:ser>
        <c:ser>
          <c:idx val="2"/>
          <c:order val="2"/>
          <c:tx>
            <c:strRef>
              <c:f>'Monthly Budget '!$E$5</c:f>
              <c:strCache>
                <c:ptCount val="1"/>
                <c:pt idx="0">
                  <c:v>March-25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FF8-4279-8E19-CBFB577021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4FF8-4279-8E19-CBFB577021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FF8-4279-8E19-CBFB577021F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4FF8-4279-8E19-CBFB577021F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FF8-4279-8E19-CBFB577021F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4FF8-4279-8E19-CBFB577021F1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5-4FF8-4279-8E19-CBFB577021F1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6-4FF8-4279-8E19-CBFB577021F1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7-4FF8-4279-8E19-CBFB577021F1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8-4FF8-4279-8E19-CBFB577021F1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9-4FF8-4279-8E19-CBFB577021F1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A-4FF8-4279-8E19-CBFB577021F1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'!$E$6:$E$11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35000</c:v>
                </c:pt>
                <c:pt idx="1">
                  <c:v>950</c:v>
                </c:pt>
                <c:pt idx="2">
                  <c:v>120</c:v>
                </c:pt>
                <c:pt idx="3">
                  <c:v>1400</c:v>
                </c:pt>
                <c:pt idx="4">
                  <c:v>24000</c:v>
                </c:pt>
                <c:pt idx="5">
                  <c:v>5350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F8-4279-8E19-CBFB577021F1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 - Print Setting'!$B$18:$G$18</c:f>
          <c:strCache>
            <c:ptCount val="6"/>
            <c:pt idx="0">
              <c:v>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'Monthly Budget - Print Setting'!$C$20</c:f>
              <c:strCache>
                <c:ptCount val="1"/>
                <c:pt idx="0">
                  <c:v>January-24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E7-48DB-9E11-246A779D508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E7-48DB-9E11-246A779D508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E7-48DB-9E11-246A779D508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E7-48DB-9E11-246A779D508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E7-48DB-9E11-246A779D508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E7-48DB-9E11-246A779D5083}"/>
              </c:ext>
            </c:extLst>
          </c:dPt>
          <c:dLbls>
            <c:dLbl>
              <c:idx val="0"/>
              <c:layout>
                <c:manualLayout>
                  <c:x val="3.5772872808694768E-2"/>
                  <c:y val="2.1328950355328558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E7-48DB-9E11-246A779D5083}"/>
                </c:ext>
              </c:extLst>
            </c:dLbl>
            <c:dLbl>
              <c:idx val="1"/>
              <c:layout>
                <c:manualLayout>
                  <c:x val="5.7175563466424752E-2"/>
                  <c:y val="3.8854793212954708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E7-48DB-9E11-246A779D5083}"/>
                </c:ext>
              </c:extLst>
            </c:dLbl>
            <c:dLbl>
              <c:idx val="2"/>
              <c:layout>
                <c:manualLayout>
                  <c:x val="-5.0203030189897462E-2"/>
                  <c:y val="2.8629847630598167E-2"/>
                </c:manualLayout>
              </c:layout>
              <c:tx>
                <c:rich>
                  <a:bodyPr rot="0" spcFirstLastPara="1" vertOverflow="overflow" horzOverflow="overflow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9F4B49C-04F2-4601-A3C2-81711EE6DA8D}" type="CATEGORYNAME">
                      <a:rPr lang="en-US" sz="900"/>
                      <a:pPr>
                        <a:defRPr sz="9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r>
                      <a:rPr lang="en-US" sz="900" baseline="0"/>
                      <a:t>
</a:t>
                    </a:r>
                    <a:fld id="{E9D08D94-ADB8-49CF-8815-33702038E60E}" type="PERCENTAGE">
                      <a:rPr lang="en-US" sz="900" baseline="0"/>
                      <a:pPr>
                        <a:defRPr sz="900"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sz="900" baseline="0"/>
                  </a:p>
                </c:rich>
              </c:tx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54E7-48DB-9E11-246A779D5083}"/>
                </c:ext>
              </c:extLst>
            </c:dLbl>
            <c:dLbl>
              <c:idx val="3"/>
              <c:layout>
                <c:manualLayout>
                  <c:x val="-6.693726378112709E-2"/>
                  <c:y val="-6.9529629960024639E-2"/>
                </c:manualLayout>
              </c:layout>
              <c:tx>
                <c:rich>
                  <a:bodyPr rot="0" spcFirstLastPara="1" vertOverflow="overflow" horzOverflow="overflow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C98C88E-E722-4F5A-92AF-2749FF11E031}" type="CATEGORYNAME">
                      <a:rPr lang="en-US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r>
                      <a:rPr lang="en-US" baseline="0"/>
                      <a:t>
</a:t>
                    </a:r>
                    <a:fld id="{E794BE84-85AD-4E40-8CD4-C26E0630E6E1}" type="PERCENTAGE">
                      <a:rPr lang="en-US" sz="800" baseline="0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baseline="0"/>
                  </a:p>
                </c:rich>
              </c:tx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54E7-48DB-9E11-246A779D5083}"/>
                </c:ext>
              </c:extLst>
            </c:dLbl>
            <c:dLbl>
              <c:idx val="4"/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54E7-48DB-9E11-246A779D5083}"/>
                </c:ext>
              </c:extLst>
            </c:dLbl>
            <c:dLbl>
              <c:idx val="5"/>
              <c:layout>
                <c:manualLayout>
                  <c:x val="-0.12055934819268992"/>
                  <c:y val="2.4711912218773467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385033982062431"/>
                      <c:h val="0.100992579932480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54E7-48DB-9E11-246A779D5083}"/>
                </c:ext>
              </c:extLst>
            </c:dLbl>
            <c:spPr>
              <a:ln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- Print Setting'!$B$21:$B$26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- Print Setting'!$C$21:$C$26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48000</c:v>
                </c:pt>
                <c:pt idx="1">
                  <c:v>1000</c:v>
                </c:pt>
                <c:pt idx="2">
                  <c:v>350</c:v>
                </c:pt>
                <c:pt idx="3">
                  <c:v>1500</c:v>
                </c:pt>
                <c:pt idx="4">
                  <c:v>22000</c:v>
                </c:pt>
                <c:pt idx="5">
                  <c:v>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E7-48DB-9E11-246A779D5083}"/>
            </c:ext>
          </c:extLst>
        </c:ser>
        <c:ser>
          <c:idx val="1"/>
          <c:order val="1"/>
          <c:tx>
            <c:strRef>
              <c:f>'Monthly Budget - Print Setting'!$D$20</c:f>
              <c:strCache>
                <c:ptCount val="1"/>
                <c:pt idx="0">
                  <c:v>February-24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54E7-48DB-9E11-246A779D508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54E7-48DB-9E11-246A779D508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54E7-48DB-9E11-246A779D508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54E7-48DB-9E11-246A779D508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54E7-48DB-9E11-246A779D508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54E7-48DB-9E11-246A779D5083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54E7-48DB-9E11-246A779D508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54E7-48DB-9E11-246A779D5083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54E7-48DB-9E11-246A779D5083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4-54E7-48DB-9E11-246A779D5083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6-54E7-48DB-9E11-246A779D508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8-54E7-48DB-9E11-246A779D5083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- Print Setting'!$B$21:$B$26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- Print Setting'!$D$21:$D$26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25000</c:v>
                </c:pt>
                <c:pt idx="1">
                  <c:v>950</c:v>
                </c:pt>
                <c:pt idx="2">
                  <c:v>4324</c:v>
                </c:pt>
                <c:pt idx="3">
                  <c:v>1500</c:v>
                </c:pt>
                <c:pt idx="4">
                  <c:v>22000</c:v>
                </c:pt>
                <c:pt idx="5">
                  <c:v>5850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54E7-48DB-9E11-246A779D5083}"/>
            </c:ext>
          </c:extLst>
        </c:ser>
        <c:ser>
          <c:idx val="2"/>
          <c:order val="2"/>
          <c:tx>
            <c:strRef>
              <c:f>'Monthly Budget - Print Setting'!$E$20</c:f>
              <c:strCache>
                <c:ptCount val="1"/>
                <c:pt idx="0">
                  <c:v>March-25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E7-48DB-9E11-246A779D508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E7-48DB-9E11-246A779D508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E7-48DB-9E11-246A779D508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4E7-48DB-9E11-246A779D508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4E7-48DB-9E11-246A779D508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54E7-48DB-9E11-246A779D5083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B-54E7-48DB-9E11-246A779D508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D-54E7-48DB-9E11-246A779D5083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F-54E7-48DB-9E11-246A779D5083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21-54E7-48DB-9E11-246A779D5083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23-54E7-48DB-9E11-246A779D508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25-54E7-48DB-9E11-246A779D5083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- Print Setting'!$B$21:$B$26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- Print Setting'!$E$21:$E$26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35000</c:v>
                </c:pt>
                <c:pt idx="1">
                  <c:v>950</c:v>
                </c:pt>
                <c:pt idx="2">
                  <c:v>120</c:v>
                </c:pt>
                <c:pt idx="3">
                  <c:v>1400</c:v>
                </c:pt>
                <c:pt idx="4">
                  <c:v>24000</c:v>
                </c:pt>
                <c:pt idx="5">
                  <c:v>5350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54E7-48DB-9E11-246A779D5083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1FB9937-001D-44FF-8301-04919C57E8E3}">
  <sheetPr/>
  <sheetViews>
    <sheetView zoomScale="117" workbookViewId="0" zoomToFit="1"/>
  </sheetViews>
  <pageMargins left="0.7" right="0.7" top="0.75" bottom="0.75" header="0.3" footer="0.3"/>
  <pageSetup paperSize="9" orientation="landscape" r:id="rId1"/>
  <drawing r:id="rId2"/>
</chartsheet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4173FF9D-5323-4896-AE26-32E51B137E13}" type="doc">
      <dgm:prSet loTypeId="urn:microsoft.com/office/officeart/2005/8/layout/hProcess9" loCatId="process" qsTypeId="urn:microsoft.com/office/officeart/2005/8/quickstyle/3d1" qsCatId="3D" csTypeId="urn:microsoft.com/office/officeart/2005/8/colors/colorful3" csCatId="colorful" phldr="1"/>
      <dgm:spPr/>
    </dgm:pt>
    <dgm:pt modelId="{C6FE03DD-B8B2-4F7B-89FE-F1F9B8B58041}">
      <dgm:prSet phldrT="[Text]"/>
      <dgm:spPr/>
      <dgm:t>
        <a:bodyPr/>
        <a:lstStyle/>
        <a:p>
          <a:r>
            <a:rPr lang="tr-TR"/>
            <a:t>Collect Income</a:t>
          </a:r>
          <a:endParaRPr lang="en-US"/>
        </a:p>
      </dgm:t>
    </dgm:pt>
    <dgm:pt modelId="{79F28220-F672-4D9D-AD17-CBD58F83FB92}" type="parTrans" cxnId="{3379642D-9330-4843-8B62-BAB065BCC2A9}">
      <dgm:prSet/>
      <dgm:spPr/>
      <dgm:t>
        <a:bodyPr/>
        <a:lstStyle/>
        <a:p>
          <a:endParaRPr lang="en-US"/>
        </a:p>
      </dgm:t>
    </dgm:pt>
    <dgm:pt modelId="{2EAE0C7E-F241-4C4F-9476-FBA049F348BC}" type="sibTrans" cxnId="{3379642D-9330-4843-8B62-BAB065BCC2A9}">
      <dgm:prSet/>
      <dgm:spPr/>
      <dgm:t>
        <a:bodyPr/>
        <a:lstStyle/>
        <a:p>
          <a:endParaRPr lang="en-US"/>
        </a:p>
      </dgm:t>
    </dgm:pt>
    <dgm:pt modelId="{53E78692-A387-468C-8AF6-75B55150F00E}">
      <dgm:prSet phldrT="[Text]"/>
      <dgm:spPr/>
      <dgm:t>
        <a:bodyPr/>
        <a:lstStyle/>
        <a:p>
          <a:r>
            <a:rPr lang="tr-TR"/>
            <a:t>Plan Spending</a:t>
          </a:r>
          <a:endParaRPr lang="en-US"/>
        </a:p>
      </dgm:t>
    </dgm:pt>
    <dgm:pt modelId="{9F0F3447-27B3-4C4C-AA74-EA130DA7EC0B}" type="parTrans" cxnId="{E26F05AA-26AE-471A-9CC0-29D2D56D36DE}">
      <dgm:prSet/>
      <dgm:spPr/>
      <dgm:t>
        <a:bodyPr/>
        <a:lstStyle/>
        <a:p>
          <a:endParaRPr lang="en-US"/>
        </a:p>
      </dgm:t>
    </dgm:pt>
    <dgm:pt modelId="{D57B18F6-82BC-40EF-8D8C-00C62A7BCD2D}" type="sibTrans" cxnId="{E26F05AA-26AE-471A-9CC0-29D2D56D36DE}">
      <dgm:prSet/>
      <dgm:spPr/>
      <dgm:t>
        <a:bodyPr/>
        <a:lstStyle/>
        <a:p>
          <a:endParaRPr lang="en-US"/>
        </a:p>
      </dgm:t>
    </dgm:pt>
    <dgm:pt modelId="{6C6F4E1C-A4CD-4408-B8D8-57C0B50E4216}">
      <dgm:prSet phldrT="[Text]"/>
      <dgm:spPr/>
      <dgm:t>
        <a:bodyPr/>
        <a:lstStyle/>
        <a:p>
          <a:r>
            <a:rPr lang="tr-TR"/>
            <a:t>Review &amp; Adjust</a:t>
          </a:r>
          <a:endParaRPr lang="en-US"/>
        </a:p>
      </dgm:t>
    </dgm:pt>
    <dgm:pt modelId="{EBA17695-3225-49CC-8947-0CB7785E85CB}" type="parTrans" cxnId="{FC52EEF0-846C-468A-A94A-76BAD9428B99}">
      <dgm:prSet/>
      <dgm:spPr/>
      <dgm:t>
        <a:bodyPr/>
        <a:lstStyle/>
        <a:p>
          <a:endParaRPr lang="en-US"/>
        </a:p>
      </dgm:t>
    </dgm:pt>
    <dgm:pt modelId="{FF261061-0F82-442A-A9EC-FE73D061F632}" type="sibTrans" cxnId="{FC52EEF0-846C-468A-A94A-76BAD9428B99}">
      <dgm:prSet/>
      <dgm:spPr/>
      <dgm:t>
        <a:bodyPr/>
        <a:lstStyle/>
        <a:p>
          <a:endParaRPr lang="en-US"/>
        </a:p>
      </dgm:t>
    </dgm:pt>
    <dgm:pt modelId="{19E38DFE-C139-4E01-9EE7-C3B28CEB3E88}">
      <dgm:prSet phldrT="[Text]"/>
      <dgm:spPr/>
      <dgm:t>
        <a:bodyPr/>
        <a:lstStyle/>
        <a:p>
          <a:r>
            <a:rPr lang="tr-TR"/>
            <a:t>Salary/ side income</a:t>
          </a:r>
          <a:endParaRPr lang="en-US"/>
        </a:p>
      </dgm:t>
    </dgm:pt>
    <dgm:pt modelId="{EA687DB3-8E22-4F77-9A97-1A1546A64BC2}" type="parTrans" cxnId="{12C018F5-114A-4E68-B78D-1B737E211AE1}">
      <dgm:prSet/>
      <dgm:spPr/>
      <dgm:t>
        <a:bodyPr/>
        <a:lstStyle/>
        <a:p>
          <a:endParaRPr lang="en-US"/>
        </a:p>
      </dgm:t>
    </dgm:pt>
    <dgm:pt modelId="{E0E8B215-35DE-4FA1-90B3-CDDFFBFE8F4D}" type="sibTrans" cxnId="{12C018F5-114A-4E68-B78D-1B737E211AE1}">
      <dgm:prSet/>
      <dgm:spPr/>
      <dgm:t>
        <a:bodyPr/>
        <a:lstStyle/>
        <a:p>
          <a:endParaRPr lang="en-US"/>
        </a:p>
      </dgm:t>
    </dgm:pt>
    <dgm:pt modelId="{59DAE2AE-AC20-47F1-805F-EEF348E22EA2}">
      <dgm:prSet phldrT="[Text]"/>
      <dgm:spPr/>
      <dgm:t>
        <a:bodyPr/>
        <a:lstStyle/>
        <a:p>
          <a:r>
            <a:rPr lang="tr-TR"/>
            <a:t>Set a target amount</a:t>
          </a:r>
          <a:endParaRPr lang="en-US"/>
        </a:p>
      </dgm:t>
    </dgm:pt>
    <dgm:pt modelId="{DFD42484-475D-4BE6-8534-89DFFD57BEEB}" type="parTrans" cxnId="{DAD890F8-E55E-4BC3-9AC9-DEB7B39005A5}">
      <dgm:prSet/>
      <dgm:spPr/>
      <dgm:t>
        <a:bodyPr/>
        <a:lstStyle/>
        <a:p>
          <a:endParaRPr lang="en-US"/>
        </a:p>
      </dgm:t>
    </dgm:pt>
    <dgm:pt modelId="{06305694-21EB-4753-ACDF-E16CF197158D}" type="sibTrans" cxnId="{DAD890F8-E55E-4BC3-9AC9-DEB7B39005A5}">
      <dgm:prSet/>
      <dgm:spPr/>
      <dgm:t>
        <a:bodyPr/>
        <a:lstStyle/>
        <a:p>
          <a:endParaRPr lang="en-US"/>
        </a:p>
      </dgm:t>
    </dgm:pt>
    <dgm:pt modelId="{F6A4E565-2BEF-4FEF-8F21-4D0A2426660F}">
      <dgm:prSet phldrT="[Text]"/>
      <dgm:spPr/>
      <dgm:t>
        <a:bodyPr/>
        <a:lstStyle/>
        <a:p>
          <a:r>
            <a:rPr lang="tr-TR"/>
            <a:t>Bills</a:t>
          </a:r>
          <a:endParaRPr lang="en-US"/>
        </a:p>
      </dgm:t>
    </dgm:pt>
    <dgm:pt modelId="{EEF08427-D08B-4016-925A-483374305C7D}" type="parTrans" cxnId="{B001651A-5A3E-42AC-910C-80A53BF70F46}">
      <dgm:prSet/>
      <dgm:spPr/>
      <dgm:t>
        <a:bodyPr/>
        <a:lstStyle/>
        <a:p>
          <a:endParaRPr lang="en-US"/>
        </a:p>
      </dgm:t>
    </dgm:pt>
    <dgm:pt modelId="{CA9116EA-3533-4C50-BBEF-D40280B1346C}" type="sibTrans" cxnId="{B001651A-5A3E-42AC-910C-80A53BF70F46}">
      <dgm:prSet/>
      <dgm:spPr/>
      <dgm:t>
        <a:bodyPr/>
        <a:lstStyle/>
        <a:p>
          <a:endParaRPr lang="en-US"/>
        </a:p>
      </dgm:t>
    </dgm:pt>
    <dgm:pt modelId="{8EC8719F-8C9B-476B-98F8-1AE44BA86555}">
      <dgm:prSet phldrT="[Text]"/>
      <dgm:spPr/>
      <dgm:t>
        <a:bodyPr/>
        <a:lstStyle/>
        <a:p>
          <a:r>
            <a:rPr lang="tr-TR"/>
            <a:t>Daily needs</a:t>
          </a:r>
          <a:endParaRPr lang="en-US"/>
        </a:p>
      </dgm:t>
    </dgm:pt>
    <dgm:pt modelId="{E3284D04-025D-430E-BD60-98E31885BEF1}" type="parTrans" cxnId="{A5053DD7-5152-41E4-B141-B19AD435AC73}">
      <dgm:prSet/>
      <dgm:spPr/>
      <dgm:t>
        <a:bodyPr/>
        <a:lstStyle/>
        <a:p>
          <a:endParaRPr lang="en-US"/>
        </a:p>
      </dgm:t>
    </dgm:pt>
    <dgm:pt modelId="{8AD8E199-EB19-4160-A91D-0BD2D9A2633B}" type="sibTrans" cxnId="{A5053DD7-5152-41E4-B141-B19AD435AC73}">
      <dgm:prSet/>
      <dgm:spPr/>
      <dgm:t>
        <a:bodyPr/>
        <a:lstStyle/>
        <a:p>
          <a:endParaRPr lang="en-US"/>
        </a:p>
      </dgm:t>
    </dgm:pt>
    <dgm:pt modelId="{580A13C2-31D2-47D4-9E1E-FF92456CA4FE}">
      <dgm:prSet phldrT="[Text]"/>
      <dgm:spPr/>
      <dgm:t>
        <a:bodyPr/>
        <a:lstStyle/>
        <a:p>
          <a:r>
            <a:rPr lang="tr-TR"/>
            <a:t>Money left</a:t>
          </a:r>
          <a:endParaRPr lang="en-US"/>
        </a:p>
      </dgm:t>
    </dgm:pt>
    <dgm:pt modelId="{C73DFC92-F16E-4909-A30E-C387FC5C515B}" type="parTrans" cxnId="{E19A0000-0D76-4460-9B57-0A2D44726F32}">
      <dgm:prSet/>
      <dgm:spPr/>
      <dgm:t>
        <a:bodyPr/>
        <a:lstStyle/>
        <a:p>
          <a:endParaRPr lang="en-US"/>
        </a:p>
      </dgm:t>
    </dgm:pt>
    <dgm:pt modelId="{5C492D1F-F1CE-43B2-94DA-87E4583C3564}" type="sibTrans" cxnId="{E19A0000-0D76-4460-9B57-0A2D44726F32}">
      <dgm:prSet/>
      <dgm:spPr/>
      <dgm:t>
        <a:bodyPr/>
        <a:lstStyle/>
        <a:p>
          <a:endParaRPr lang="en-US"/>
        </a:p>
      </dgm:t>
    </dgm:pt>
    <dgm:pt modelId="{6648B837-72B9-4317-BD95-466BDDC70F21}">
      <dgm:prSet phldrT="[Text]"/>
      <dgm:spPr/>
      <dgm:t>
        <a:bodyPr/>
        <a:lstStyle/>
        <a:p>
          <a:r>
            <a:rPr lang="tr-TR"/>
            <a:t>Cut unnecessary spending</a:t>
          </a:r>
          <a:endParaRPr lang="en-US"/>
        </a:p>
      </dgm:t>
    </dgm:pt>
    <dgm:pt modelId="{FA833BC1-82EC-4E3D-A77D-7DCD7812FB7C}" type="parTrans" cxnId="{FB1D8B5B-67B5-4D6F-AB4C-FB66E128AA95}">
      <dgm:prSet/>
      <dgm:spPr/>
      <dgm:t>
        <a:bodyPr/>
        <a:lstStyle/>
        <a:p>
          <a:endParaRPr lang="en-US"/>
        </a:p>
      </dgm:t>
    </dgm:pt>
    <dgm:pt modelId="{59F8B0EF-4295-47FC-B0C7-63F53021D59A}" type="sibTrans" cxnId="{FB1D8B5B-67B5-4D6F-AB4C-FB66E128AA95}">
      <dgm:prSet/>
      <dgm:spPr/>
      <dgm:t>
        <a:bodyPr/>
        <a:lstStyle/>
        <a:p>
          <a:endParaRPr lang="en-US"/>
        </a:p>
      </dgm:t>
    </dgm:pt>
    <dgm:pt modelId="{D4BF4E1A-1A3F-4580-8BFD-70414F3F5DFE}" type="pres">
      <dgm:prSet presAssocID="{4173FF9D-5323-4896-AE26-32E51B137E13}" presName="CompostProcess" presStyleCnt="0">
        <dgm:presLayoutVars>
          <dgm:dir/>
          <dgm:resizeHandles val="exact"/>
        </dgm:presLayoutVars>
      </dgm:prSet>
      <dgm:spPr/>
    </dgm:pt>
    <dgm:pt modelId="{5E75CDF1-1425-4425-B947-36B2AD341E94}" type="pres">
      <dgm:prSet presAssocID="{4173FF9D-5323-4896-AE26-32E51B137E13}" presName="arrow" presStyleLbl="bgShp" presStyleIdx="0" presStyleCnt="1"/>
      <dgm:spPr/>
    </dgm:pt>
    <dgm:pt modelId="{3CAEE456-2A9E-43BA-AA91-5C443A8B5630}" type="pres">
      <dgm:prSet presAssocID="{4173FF9D-5323-4896-AE26-32E51B137E13}" presName="linearProcess" presStyleCnt="0"/>
      <dgm:spPr/>
    </dgm:pt>
    <dgm:pt modelId="{757AE223-1256-4756-98B5-071C900A0DA8}" type="pres">
      <dgm:prSet presAssocID="{C6FE03DD-B8B2-4F7B-89FE-F1F9B8B58041}" presName="textNode" presStyleLbl="node1" presStyleIdx="0" presStyleCnt="3">
        <dgm:presLayoutVars>
          <dgm:bulletEnabled val="1"/>
        </dgm:presLayoutVars>
      </dgm:prSet>
      <dgm:spPr/>
    </dgm:pt>
    <dgm:pt modelId="{04CA75D5-A336-433B-94D3-D55701430297}" type="pres">
      <dgm:prSet presAssocID="{2EAE0C7E-F241-4C4F-9476-FBA049F348BC}" presName="sibTrans" presStyleCnt="0"/>
      <dgm:spPr/>
    </dgm:pt>
    <dgm:pt modelId="{4AF387EC-071A-495C-B3C8-8FD928F3F851}" type="pres">
      <dgm:prSet presAssocID="{53E78692-A387-468C-8AF6-75B55150F00E}" presName="textNode" presStyleLbl="node1" presStyleIdx="1" presStyleCnt="3">
        <dgm:presLayoutVars>
          <dgm:bulletEnabled val="1"/>
        </dgm:presLayoutVars>
      </dgm:prSet>
      <dgm:spPr/>
    </dgm:pt>
    <dgm:pt modelId="{3BF14AD8-4E61-410E-BD98-650BE33B76F0}" type="pres">
      <dgm:prSet presAssocID="{D57B18F6-82BC-40EF-8D8C-00C62A7BCD2D}" presName="sibTrans" presStyleCnt="0"/>
      <dgm:spPr/>
    </dgm:pt>
    <dgm:pt modelId="{DE0BD434-849F-4135-AAA4-AFA4E216BFC6}" type="pres">
      <dgm:prSet presAssocID="{6C6F4E1C-A4CD-4408-B8D8-57C0B50E4216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E19A0000-0D76-4460-9B57-0A2D44726F32}" srcId="{6C6F4E1C-A4CD-4408-B8D8-57C0B50E4216}" destId="{580A13C2-31D2-47D4-9E1E-FF92456CA4FE}" srcOrd="0" destOrd="0" parTransId="{C73DFC92-F16E-4909-A30E-C387FC5C515B}" sibTransId="{5C492D1F-F1CE-43B2-94DA-87E4583C3564}"/>
    <dgm:cxn modelId="{451D7B01-03A5-4117-AC66-B72857573BD5}" type="presOf" srcId="{C6FE03DD-B8B2-4F7B-89FE-F1F9B8B58041}" destId="{757AE223-1256-4756-98B5-071C900A0DA8}" srcOrd="0" destOrd="0" presId="urn:microsoft.com/office/officeart/2005/8/layout/hProcess9"/>
    <dgm:cxn modelId="{514B7D0F-6EE3-42A2-A262-B25E769BD2EA}" type="presOf" srcId="{19E38DFE-C139-4E01-9EE7-C3B28CEB3E88}" destId="{757AE223-1256-4756-98B5-071C900A0DA8}" srcOrd="0" destOrd="1" presId="urn:microsoft.com/office/officeart/2005/8/layout/hProcess9"/>
    <dgm:cxn modelId="{B001651A-5A3E-42AC-910C-80A53BF70F46}" srcId="{53E78692-A387-468C-8AF6-75B55150F00E}" destId="{F6A4E565-2BEF-4FEF-8F21-4D0A2426660F}" srcOrd="0" destOrd="0" parTransId="{EEF08427-D08B-4016-925A-483374305C7D}" sibTransId="{CA9116EA-3533-4C50-BBEF-D40280B1346C}"/>
    <dgm:cxn modelId="{3379642D-9330-4843-8B62-BAB065BCC2A9}" srcId="{4173FF9D-5323-4896-AE26-32E51B137E13}" destId="{C6FE03DD-B8B2-4F7B-89FE-F1F9B8B58041}" srcOrd="0" destOrd="0" parTransId="{79F28220-F672-4D9D-AD17-CBD58F83FB92}" sibTransId="{2EAE0C7E-F241-4C4F-9476-FBA049F348BC}"/>
    <dgm:cxn modelId="{FB1D8B5B-67B5-4D6F-AB4C-FB66E128AA95}" srcId="{6C6F4E1C-A4CD-4408-B8D8-57C0B50E4216}" destId="{6648B837-72B9-4317-BD95-466BDDC70F21}" srcOrd="1" destOrd="0" parTransId="{FA833BC1-82EC-4E3D-A77D-7DCD7812FB7C}" sibTransId="{59F8B0EF-4295-47FC-B0C7-63F53021D59A}"/>
    <dgm:cxn modelId="{6F9F5E45-D8E3-4F21-8E28-859B8764B1B4}" type="presOf" srcId="{580A13C2-31D2-47D4-9E1E-FF92456CA4FE}" destId="{DE0BD434-849F-4135-AAA4-AFA4E216BFC6}" srcOrd="0" destOrd="1" presId="urn:microsoft.com/office/officeart/2005/8/layout/hProcess9"/>
    <dgm:cxn modelId="{D266504A-F278-4177-B7D1-2FF54F0B7B9E}" type="presOf" srcId="{6C6F4E1C-A4CD-4408-B8D8-57C0B50E4216}" destId="{DE0BD434-849F-4135-AAA4-AFA4E216BFC6}" srcOrd="0" destOrd="0" presId="urn:microsoft.com/office/officeart/2005/8/layout/hProcess9"/>
    <dgm:cxn modelId="{B94ED89A-27F3-41AD-840F-660FEABD68ED}" type="presOf" srcId="{59DAE2AE-AC20-47F1-805F-EEF348E22EA2}" destId="{757AE223-1256-4756-98B5-071C900A0DA8}" srcOrd="0" destOrd="2" presId="urn:microsoft.com/office/officeart/2005/8/layout/hProcess9"/>
    <dgm:cxn modelId="{E26F05AA-26AE-471A-9CC0-29D2D56D36DE}" srcId="{4173FF9D-5323-4896-AE26-32E51B137E13}" destId="{53E78692-A387-468C-8AF6-75B55150F00E}" srcOrd="1" destOrd="0" parTransId="{9F0F3447-27B3-4C4C-AA74-EA130DA7EC0B}" sibTransId="{D57B18F6-82BC-40EF-8D8C-00C62A7BCD2D}"/>
    <dgm:cxn modelId="{A9ECFBB6-444D-4DF2-B96F-A0399084DB52}" type="presOf" srcId="{53E78692-A387-468C-8AF6-75B55150F00E}" destId="{4AF387EC-071A-495C-B3C8-8FD928F3F851}" srcOrd="0" destOrd="0" presId="urn:microsoft.com/office/officeart/2005/8/layout/hProcess9"/>
    <dgm:cxn modelId="{A9C2CBC4-D4AD-4390-A2E1-9BBA3EA593B8}" type="presOf" srcId="{8EC8719F-8C9B-476B-98F8-1AE44BA86555}" destId="{4AF387EC-071A-495C-B3C8-8FD928F3F851}" srcOrd="0" destOrd="2" presId="urn:microsoft.com/office/officeart/2005/8/layout/hProcess9"/>
    <dgm:cxn modelId="{A5053DD7-5152-41E4-B141-B19AD435AC73}" srcId="{53E78692-A387-468C-8AF6-75B55150F00E}" destId="{8EC8719F-8C9B-476B-98F8-1AE44BA86555}" srcOrd="1" destOrd="0" parTransId="{E3284D04-025D-430E-BD60-98E31885BEF1}" sibTransId="{8AD8E199-EB19-4160-A91D-0BD2D9A2633B}"/>
    <dgm:cxn modelId="{347036E4-D246-42E6-9B42-82AB6CC0AB6E}" type="presOf" srcId="{F6A4E565-2BEF-4FEF-8F21-4D0A2426660F}" destId="{4AF387EC-071A-495C-B3C8-8FD928F3F851}" srcOrd="0" destOrd="1" presId="urn:microsoft.com/office/officeart/2005/8/layout/hProcess9"/>
    <dgm:cxn modelId="{E2F98EEB-E8C5-4F80-A8FF-778AF382F9BD}" type="presOf" srcId="{4173FF9D-5323-4896-AE26-32E51B137E13}" destId="{D4BF4E1A-1A3F-4580-8BFD-70414F3F5DFE}" srcOrd="0" destOrd="0" presId="urn:microsoft.com/office/officeart/2005/8/layout/hProcess9"/>
    <dgm:cxn modelId="{35A80DEC-41F1-4DF1-A7B3-97D773FB82D2}" type="presOf" srcId="{6648B837-72B9-4317-BD95-466BDDC70F21}" destId="{DE0BD434-849F-4135-AAA4-AFA4E216BFC6}" srcOrd="0" destOrd="2" presId="urn:microsoft.com/office/officeart/2005/8/layout/hProcess9"/>
    <dgm:cxn modelId="{FC52EEF0-846C-468A-A94A-76BAD9428B99}" srcId="{4173FF9D-5323-4896-AE26-32E51B137E13}" destId="{6C6F4E1C-A4CD-4408-B8D8-57C0B50E4216}" srcOrd="2" destOrd="0" parTransId="{EBA17695-3225-49CC-8947-0CB7785E85CB}" sibTransId="{FF261061-0F82-442A-A9EC-FE73D061F632}"/>
    <dgm:cxn modelId="{12C018F5-114A-4E68-B78D-1B737E211AE1}" srcId="{C6FE03DD-B8B2-4F7B-89FE-F1F9B8B58041}" destId="{19E38DFE-C139-4E01-9EE7-C3B28CEB3E88}" srcOrd="0" destOrd="0" parTransId="{EA687DB3-8E22-4F77-9A97-1A1546A64BC2}" sibTransId="{E0E8B215-35DE-4FA1-90B3-CDDFFBFE8F4D}"/>
    <dgm:cxn modelId="{DAD890F8-E55E-4BC3-9AC9-DEB7B39005A5}" srcId="{C6FE03DD-B8B2-4F7B-89FE-F1F9B8B58041}" destId="{59DAE2AE-AC20-47F1-805F-EEF348E22EA2}" srcOrd="1" destOrd="0" parTransId="{DFD42484-475D-4BE6-8534-89DFFD57BEEB}" sibTransId="{06305694-21EB-4753-ACDF-E16CF197158D}"/>
    <dgm:cxn modelId="{9DCCC64E-9736-48E0-B79B-4F9E3FA013B5}" type="presParOf" srcId="{D4BF4E1A-1A3F-4580-8BFD-70414F3F5DFE}" destId="{5E75CDF1-1425-4425-B947-36B2AD341E94}" srcOrd="0" destOrd="0" presId="urn:microsoft.com/office/officeart/2005/8/layout/hProcess9"/>
    <dgm:cxn modelId="{C423E5C7-5E19-4CB6-A2F8-7B9DFC29CB3E}" type="presParOf" srcId="{D4BF4E1A-1A3F-4580-8BFD-70414F3F5DFE}" destId="{3CAEE456-2A9E-43BA-AA91-5C443A8B5630}" srcOrd="1" destOrd="0" presId="urn:microsoft.com/office/officeart/2005/8/layout/hProcess9"/>
    <dgm:cxn modelId="{BFF2E25A-38A2-4206-AB33-36E5978A7898}" type="presParOf" srcId="{3CAEE456-2A9E-43BA-AA91-5C443A8B5630}" destId="{757AE223-1256-4756-98B5-071C900A0DA8}" srcOrd="0" destOrd="0" presId="urn:microsoft.com/office/officeart/2005/8/layout/hProcess9"/>
    <dgm:cxn modelId="{018BF93B-6D37-4D4E-AF83-3CDBEE17E38F}" type="presParOf" srcId="{3CAEE456-2A9E-43BA-AA91-5C443A8B5630}" destId="{04CA75D5-A336-433B-94D3-D55701430297}" srcOrd="1" destOrd="0" presId="urn:microsoft.com/office/officeart/2005/8/layout/hProcess9"/>
    <dgm:cxn modelId="{E44B6764-23EA-417D-985A-B7EBBD1189C8}" type="presParOf" srcId="{3CAEE456-2A9E-43BA-AA91-5C443A8B5630}" destId="{4AF387EC-071A-495C-B3C8-8FD928F3F851}" srcOrd="2" destOrd="0" presId="urn:microsoft.com/office/officeart/2005/8/layout/hProcess9"/>
    <dgm:cxn modelId="{0E577DCC-9C34-401F-8B75-F3AD780A7BF1}" type="presParOf" srcId="{3CAEE456-2A9E-43BA-AA91-5C443A8B5630}" destId="{3BF14AD8-4E61-410E-BD98-650BE33B76F0}" srcOrd="3" destOrd="0" presId="urn:microsoft.com/office/officeart/2005/8/layout/hProcess9"/>
    <dgm:cxn modelId="{B565D461-B469-4A17-9F10-38BA854B8179}" type="presParOf" srcId="{3CAEE456-2A9E-43BA-AA91-5C443A8B5630}" destId="{DE0BD434-849F-4135-AAA4-AFA4E216BFC6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8" minVer="http://schemas.openxmlformats.org/drawingml/2006/diagram"/>
    </a:ext>
    <a:ext uri="{C62137D5-CB1D-491B-B009-E17868A290BF}">
      <dgm14:recolorImg xmlns:dgm14="http://schemas.microsoft.com/office/drawing/2010/diagram" val="1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4173FF9D-5323-4896-AE26-32E51B137E13}" type="doc">
      <dgm:prSet loTypeId="urn:microsoft.com/office/officeart/2005/8/layout/hProcess9" loCatId="process" qsTypeId="urn:microsoft.com/office/officeart/2005/8/quickstyle/3d1" qsCatId="3D" csTypeId="urn:microsoft.com/office/officeart/2005/8/colors/colorful3" csCatId="colorful" phldr="1"/>
      <dgm:spPr/>
    </dgm:pt>
    <dgm:pt modelId="{C6FE03DD-B8B2-4F7B-89FE-F1F9B8B58041}">
      <dgm:prSet phldrT="[Text]"/>
      <dgm:spPr/>
      <dgm:t>
        <a:bodyPr/>
        <a:lstStyle/>
        <a:p>
          <a:r>
            <a:rPr lang="tr-TR"/>
            <a:t>Collect Income</a:t>
          </a:r>
          <a:endParaRPr lang="en-US"/>
        </a:p>
      </dgm:t>
    </dgm:pt>
    <dgm:pt modelId="{79F28220-F672-4D9D-AD17-CBD58F83FB92}" type="parTrans" cxnId="{3379642D-9330-4843-8B62-BAB065BCC2A9}">
      <dgm:prSet/>
      <dgm:spPr/>
      <dgm:t>
        <a:bodyPr/>
        <a:lstStyle/>
        <a:p>
          <a:endParaRPr lang="en-US"/>
        </a:p>
      </dgm:t>
    </dgm:pt>
    <dgm:pt modelId="{2EAE0C7E-F241-4C4F-9476-FBA049F348BC}" type="sibTrans" cxnId="{3379642D-9330-4843-8B62-BAB065BCC2A9}">
      <dgm:prSet/>
      <dgm:spPr/>
      <dgm:t>
        <a:bodyPr/>
        <a:lstStyle/>
        <a:p>
          <a:endParaRPr lang="en-US"/>
        </a:p>
      </dgm:t>
    </dgm:pt>
    <dgm:pt modelId="{53E78692-A387-468C-8AF6-75B55150F00E}">
      <dgm:prSet phldrT="[Text]"/>
      <dgm:spPr/>
      <dgm:t>
        <a:bodyPr/>
        <a:lstStyle/>
        <a:p>
          <a:r>
            <a:rPr lang="tr-TR"/>
            <a:t>Plan Spending</a:t>
          </a:r>
          <a:endParaRPr lang="en-US"/>
        </a:p>
      </dgm:t>
    </dgm:pt>
    <dgm:pt modelId="{9F0F3447-27B3-4C4C-AA74-EA130DA7EC0B}" type="parTrans" cxnId="{E26F05AA-26AE-471A-9CC0-29D2D56D36DE}">
      <dgm:prSet/>
      <dgm:spPr/>
      <dgm:t>
        <a:bodyPr/>
        <a:lstStyle/>
        <a:p>
          <a:endParaRPr lang="en-US"/>
        </a:p>
      </dgm:t>
    </dgm:pt>
    <dgm:pt modelId="{D57B18F6-82BC-40EF-8D8C-00C62A7BCD2D}" type="sibTrans" cxnId="{E26F05AA-26AE-471A-9CC0-29D2D56D36DE}">
      <dgm:prSet/>
      <dgm:spPr/>
      <dgm:t>
        <a:bodyPr/>
        <a:lstStyle/>
        <a:p>
          <a:endParaRPr lang="en-US"/>
        </a:p>
      </dgm:t>
    </dgm:pt>
    <dgm:pt modelId="{6C6F4E1C-A4CD-4408-B8D8-57C0B50E4216}">
      <dgm:prSet phldrT="[Text]"/>
      <dgm:spPr/>
      <dgm:t>
        <a:bodyPr/>
        <a:lstStyle/>
        <a:p>
          <a:r>
            <a:rPr lang="tr-TR"/>
            <a:t>Review &amp; Adjust</a:t>
          </a:r>
          <a:endParaRPr lang="en-US"/>
        </a:p>
      </dgm:t>
    </dgm:pt>
    <dgm:pt modelId="{EBA17695-3225-49CC-8947-0CB7785E85CB}" type="parTrans" cxnId="{FC52EEF0-846C-468A-A94A-76BAD9428B99}">
      <dgm:prSet/>
      <dgm:spPr/>
      <dgm:t>
        <a:bodyPr/>
        <a:lstStyle/>
        <a:p>
          <a:endParaRPr lang="en-US"/>
        </a:p>
      </dgm:t>
    </dgm:pt>
    <dgm:pt modelId="{FF261061-0F82-442A-A9EC-FE73D061F632}" type="sibTrans" cxnId="{FC52EEF0-846C-468A-A94A-76BAD9428B99}">
      <dgm:prSet/>
      <dgm:spPr/>
      <dgm:t>
        <a:bodyPr/>
        <a:lstStyle/>
        <a:p>
          <a:endParaRPr lang="en-US"/>
        </a:p>
      </dgm:t>
    </dgm:pt>
    <dgm:pt modelId="{19E38DFE-C139-4E01-9EE7-C3B28CEB3E88}">
      <dgm:prSet phldrT="[Text]"/>
      <dgm:spPr/>
      <dgm:t>
        <a:bodyPr/>
        <a:lstStyle/>
        <a:p>
          <a:r>
            <a:rPr lang="tr-TR"/>
            <a:t>Salary/ side income</a:t>
          </a:r>
          <a:endParaRPr lang="en-US"/>
        </a:p>
      </dgm:t>
    </dgm:pt>
    <dgm:pt modelId="{EA687DB3-8E22-4F77-9A97-1A1546A64BC2}" type="parTrans" cxnId="{12C018F5-114A-4E68-B78D-1B737E211AE1}">
      <dgm:prSet/>
      <dgm:spPr/>
      <dgm:t>
        <a:bodyPr/>
        <a:lstStyle/>
        <a:p>
          <a:endParaRPr lang="en-US"/>
        </a:p>
      </dgm:t>
    </dgm:pt>
    <dgm:pt modelId="{E0E8B215-35DE-4FA1-90B3-CDDFFBFE8F4D}" type="sibTrans" cxnId="{12C018F5-114A-4E68-B78D-1B737E211AE1}">
      <dgm:prSet/>
      <dgm:spPr/>
      <dgm:t>
        <a:bodyPr/>
        <a:lstStyle/>
        <a:p>
          <a:endParaRPr lang="en-US"/>
        </a:p>
      </dgm:t>
    </dgm:pt>
    <dgm:pt modelId="{59DAE2AE-AC20-47F1-805F-EEF348E22EA2}">
      <dgm:prSet phldrT="[Text]"/>
      <dgm:spPr/>
      <dgm:t>
        <a:bodyPr/>
        <a:lstStyle/>
        <a:p>
          <a:r>
            <a:rPr lang="tr-TR"/>
            <a:t>Set a target amount</a:t>
          </a:r>
          <a:endParaRPr lang="en-US"/>
        </a:p>
      </dgm:t>
    </dgm:pt>
    <dgm:pt modelId="{DFD42484-475D-4BE6-8534-89DFFD57BEEB}" type="parTrans" cxnId="{DAD890F8-E55E-4BC3-9AC9-DEB7B39005A5}">
      <dgm:prSet/>
      <dgm:spPr/>
      <dgm:t>
        <a:bodyPr/>
        <a:lstStyle/>
        <a:p>
          <a:endParaRPr lang="en-US"/>
        </a:p>
      </dgm:t>
    </dgm:pt>
    <dgm:pt modelId="{06305694-21EB-4753-ACDF-E16CF197158D}" type="sibTrans" cxnId="{DAD890F8-E55E-4BC3-9AC9-DEB7B39005A5}">
      <dgm:prSet/>
      <dgm:spPr/>
      <dgm:t>
        <a:bodyPr/>
        <a:lstStyle/>
        <a:p>
          <a:endParaRPr lang="en-US"/>
        </a:p>
      </dgm:t>
    </dgm:pt>
    <dgm:pt modelId="{F6A4E565-2BEF-4FEF-8F21-4D0A2426660F}">
      <dgm:prSet phldrT="[Text]"/>
      <dgm:spPr/>
      <dgm:t>
        <a:bodyPr/>
        <a:lstStyle/>
        <a:p>
          <a:r>
            <a:rPr lang="tr-TR"/>
            <a:t>Bills</a:t>
          </a:r>
          <a:endParaRPr lang="en-US"/>
        </a:p>
      </dgm:t>
    </dgm:pt>
    <dgm:pt modelId="{EEF08427-D08B-4016-925A-483374305C7D}" type="parTrans" cxnId="{B001651A-5A3E-42AC-910C-80A53BF70F46}">
      <dgm:prSet/>
      <dgm:spPr/>
      <dgm:t>
        <a:bodyPr/>
        <a:lstStyle/>
        <a:p>
          <a:endParaRPr lang="en-US"/>
        </a:p>
      </dgm:t>
    </dgm:pt>
    <dgm:pt modelId="{CA9116EA-3533-4C50-BBEF-D40280B1346C}" type="sibTrans" cxnId="{B001651A-5A3E-42AC-910C-80A53BF70F46}">
      <dgm:prSet/>
      <dgm:spPr/>
      <dgm:t>
        <a:bodyPr/>
        <a:lstStyle/>
        <a:p>
          <a:endParaRPr lang="en-US"/>
        </a:p>
      </dgm:t>
    </dgm:pt>
    <dgm:pt modelId="{8EC8719F-8C9B-476B-98F8-1AE44BA86555}">
      <dgm:prSet phldrT="[Text]"/>
      <dgm:spPr/>
      <dgm:t>
        <a:bodyPr/>
        <a:lstStyle/>
        <a:p>
          <a:r>
            <a:rPr lang="tr-TR"/>
            <a:t>Daily needs</a:t>
          </a:r>
          <a:endParaRPr lang="en-US"/>
        </a:p>
      </dgm:t>
    </dgm:pt>
    <dgm:pt modelId="{E3284D04-025D-430E-BD60-98E31885BEF1}" type="parTrans" cxnId="{A5053DD7-5152-41E4-B141-B19AD435AC73}">
      <dgm:prSet/>
      <dgm:spPr/>
      <dgm:t>
        <a:bodyPr/>
        <a:lstStyle/>
        <a:p>
          <a:endParaRPr lang="en-US"/>
        </a:p>
      </dgm:t>
    </dgm:pt>
    <dgm:pt modelId="{8AD8E199-EB19-4160-A91D-0BD2D9A2633B}" type="sibTrans" cxnId="{A5053DD7-5152-41E4-B141-B19AD435AC73}">
      <dgm:prSet/>
      <dgm:spPr/>
      <dgm:t>
        <a:bodyPr/>
        <a:lstStyle/>
        <a:p>
          <a:endParaRPr lang="en-US"/>
        </a:p>
      </dgm:t>
    </dgm:pt>
    <dgm:pt modelId="{580A13C2-31D2-47D4-9E1E-FF92456CA4FE}">
      <dgm:prSet phldrT="[Text]"/>
      <dgm:spPr/>
      <dgm:t>
        <a:bodyPr/>
        <a:lstStyle/>
        <a:p>
          <a:r>
            <a:rPr lang="tr-TR"/>
            <a:t>Money left</a:t>
          </a:r>
          <a:endParaRPr lang="en-US"/>
        </a:p>
      </dgm:t>
    </dgm:pt>
    <dgm:pt modelId="{C73DFC92-F16E-4909-A30E-C387FC5C515B}" type="parTrans" cxnId="{E19A0000-0D76-4460-9B57-0A2D44726F32}">
      <dgm:prSet/>
      <dgm:spPr/>
      <dgm:t>
        <a:bodyPr/>
        <a:lstStyle/>
        <a:p>
          <a:endParaRPr lang="en-US"/>
        </a:p>
      </dgm:t>
    </dgm:pt>
    <dgm:pt modelId="{5C492D1F-F1CE-43B2-94DA-87E4583C3564}" type="sibTrans" cxnId="{E19A0000-0D76-4460-9B57-0A2D44726F32}">
      <dgm:prSet/>
      <dgm:spPr/>
      <dgm:t>
        <a:bodyPr/>
        <a:lstStyle/>
        <a:p>
          <a:endParaRPr lang="en-US"/>
        </a:p>
      </dgm:t>
    </dgm:pt>
    <dgm:pt modelId="{6648B837-72B9-4317-BD95-466BDDC70F21}">
      <dgm:prSet phldrT="[Text]"/>
      <dgm:spPr/>
      <dgm:t>
        <a:bodyPr/>
        <a:lstStyle/>
        <a:p>
          <a:r>
            <a:rPr lang="tr-TR"/>
            <a:t>Cut unnecessary spending</a:t>
          </a:r>
          <a:endParaRPr lang="en-US"/>
        </a:p>
      </dgm:t>
    </dgm:pt>
    <dgm:pt modelId="{FA833BC1-82EC-4E3D-A77D-7DCD7812FB7C}" type="parTrans" cxnId="{FB1D8B5B-67B5-4D6F-AB4C-FB66E128AA95}">
      <dgm:prSet/>
      <dgm:spPr/>
      <dgm:t>
        <a:bodyPr/>
        <a:lstStyle/>
        <a:p>
          <a:endParaRPr lang="en-US"/>
        </a:p>
      </dgm:t>
    </dgm:pt>
    <dgm:pt modelId="{59F8B0EF-4295-47FC-B0C7-63F53021D59A}" type="sibTrans" cxnId="{FB1D8B5B-67B5-4D6F-AB4C-FB66E128AA95}">
      <dgm:prSet/>
      <dgm:spPr/>
      <dgm:t>
        <a:bodyPr/>
        <a:lstStyle/>
        <a:p>
          <a:endParaRPr lang="en-US"/>
        </a:p>
      </dgm:t>
    </dgm:pt>
    <dgm:pt modelId="{D4BF4E1A-1A3F-4580-8BFD-70414F3F5DFE}" type="pres">
      <dgm:prSet presAssocID="{4173FF9D-5323-4896-AE26-32E51B137E13}" presName="CompostProcess" presStyleCnt="0">
        <dgm:presLayoutVars>
          <dgm:dir/>
          <dgm:resizeHandles val="exact"/>
        </dgm:presLayoutVars>
      </dgm:prSet>
      <dgm:spPr/>
    </dgm:pt>
    <dgm:pt modelId="{5E75CDF1-1425-4425-B947-36B2AD341E94}" type="pres">
      <dgm:prSet presAssocID="{4173FF9D-5323-4896-AE26-32E51B137E13}" presName="arrow" presStyleLbl="bgShp" presStyleIdx="0" presStyleCnt="1"/>
      <dgm:spPr/>
    </dgm:pt>
    <dgm:pt modelId="{3CAEE456-2A9E-43BA-AA91-5C443A8B5630}" type="pres">
      <dgm:prSet presAssocID="{4173FF9D-5323-4896-AE26-32E51B137E13}" presName="linearProcess" presStyleCnt="0"/>
      <dgm:spPr/>
    </dgm:pt>
    <dgm:pt modelId="{757AE223-1256-4756-98B5-071C900A0DA8}" type="pres">
      <dgm:prSet presAssocID="{C6FE03DD-B8B2-4F7B-89FE-F1F9B8B58041}" presName="textNode" presStyleLbl="node1" presStyleIdx="0" presStyleCnt="3">
        <dgm:presLayoutVars>
          <dgm:bulletEnabled val="1"/>
        </dgm:presLayoutVars>
      </dgm:prSet>
      <dgm:spPr/>
    </dgm:pt>
    <dgm:pt modelId="{04CA75D5-A336-433B-94D3-D55701430297}" type="pres">
      <dgm:prSet presAssocID="{2EAE0C7E-F241-4C4F-9476-FBA049F348BC}" presName="sibTrans" presStyleCnt="0"/>
      <dgm:spPr/>
    </dgm:pt>
    <dgm:pt modelId="{4AF387EC-071A-495C-B3C8-8FD928F3F851}" type="pres">
      <dgm:prSet presAssocID="{53E78692-A387-468C-8AF6-75B55150F00E}" presName="textNode" presStyleLbl="node1" presStyleIdx="1" presStyleCnt="3">
        <dgm:presLayoutVars>
          <dgm:bulletEnabled val="1"/>
        </dgm:presLayoutVars>
      </dgm:prSet>
      <dgm:spPr/>
    </dgm:pt>
    <dgm:pt modelId="{3BF14AD8-4E61-410E-BD98-650BE33B76F0}" type="pres">
      <dgm:prSet presAssocID="{D57B18F6-82BC-40EF-8D8C-00C62A7BCD2D}" presName="sibTrans" presStyleCnt="0"/>
      <dgm:spPr/>
    </dgm:pt>
    <dgm:pt modelId="{DE0BD434-849F-4135-AAA4-AFA4E216BFC6}" type="pres">
      <dgm:prSet presAssocID="{6C6F4E1C-A4CD-4408-B8D8-57C0B50E4216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E19A0000-0D76-4460-9B57-0A2D44726F32}" srcId="{6C6F4E1C-A4CD-4408-B8D8-57C0B50E4216}" destId="{580A13C2-31D2-47D4-9E1E-FF92456CA4FE}" srcOrd="0" destOrd="0" parTransId="{C73DFC92-F16E-4909-A30E-C387FC5C515B}" sibTransId="{5C492D1F-F1CE-43B2-94DA-87E4583C3564}"/>
    <dgm:cxn modelId="{451D7B01-03A5-4117-AC66-B72857573BD5}" type="presOf" srcId="{C6FE03DD-B8B2-4F7B-89FE-F1F9B8B58041}" destId="{757AE223-1256-4756-98B5-071C900A0DA8}" srcOrd="0" destOrd="0" presId="urn:microsoft.com/office/officeart/2005/8/layout/hProcess9"/>
    <dgm:cxn modelId="{514B7D0F-6EE3-42A2-A262-B25E769BD2EA}" type="presOf" srcId="{19E38DFE-C139-4E01-9EE7-C3B28CEB3E88}" destId="{757AE223-1256-4756-98B5-071C900A0DA8}" srcOrd="0" destOrd="1" presId="urn:microsoft.com/office/officeart/2005/8/layout/hProcess9"/>
    <dgm:cxn modelId="{B001651A-5A3E-42AC-910C-80A53BF70F46}" srcId="{53E78692-A387-468C-8AF6-75B55150F00E}" destId="{F6A4E565-2BEF-4FEF-8F21-4D0A2426660F}" srcOrd="0" destOrd="0" parTransId="{EEF08427-D08B-4016-925A-483374305C7D}" sibTransId="{CA9116EA-3533-4C50-BBEF-D40280B1346C}"/>
    <dgm:cxn modelId="{3379642D-9330-4843-8B62-BAB065BCC2A9}" srcId="{4173FF9D-5323-4896-AE26-32E51B137E13}" destId="{C6FE03DD-B8B2-4F7B-89FE-F1F9B8B58041}" srcOrd="0" destOrd="0" parTransId="{79F28220-F672-4D9D-AD17-CBD58F83FB92}" sibTransId="{2EAE0C7E-F241-4C4F-9476-FBA049F348BC}"/>
    <dgm:cxn modelId="{FB1D8B5B-67B5-4D6F-AB4C-FB66E128AA95}" srcId="{6C6F4E1C-A4CD-4408-B8D8-57C0B50E4216}" destId="{6648B837-72B9-4317-BD95-466BDDC70F21}" srcOrd="1" destOrd="0" parTransId="{FA833BC1-82EC-4E3D-A77D-7DCD7812FB7C}" sibTransId="{59F8B0EF-4295-47FC-B0C7-63F53021D59A}"/>
    <dgm:cxn modelId="{6F9F5E45-D8E3-4F21-8E28-859B8764B1B4}" type="presOf" srcId="{580A13C2-31D2-47D4-9E1E-FF92456CA4FE}" destId="{DE0BD434-849F-4135-AAA4-AFA4E216BFC6}" srcOrd="0" destOrd="1" presId="urn:microsoft.com/office/officeart/2005/8/layout/hProcess9"/>
    <dgm:cxn modelId="{D266504A-F278-4177-B7D1-2FF54F0B7B9E}" type="presOf" srcId="{6C6F4E1C-A4CD-4408-B8D8-57C0B50E4216}" destId="{DE0BD434-849F-4135-AAA4-AFA4E216BFC6}" srcOrd="0" destOrd="0" presId="urn:microsoft.com/office/officeart/2005/8/layout/hProcess9"/>
    <dgm:cxn modelId="{B94ED89A-27F3-41AD-840F-660FEABD68ED}" type="presOf" srcId="{59DAE2AE-AC20-47F1-805F-EEF348E22EA2}" destId="{757AE223-1256-4756-98B5-071C900A0DA8}" srcOrd="0" destOrd="2" presId="urn:microsoft.com/office/officeart/2005/8/layout/hProcess9"/>
    <dgm:cxn modelId="{E26F05AA-26AE-471A-9CC0-29D2D56D36DE}" srcId="{4173FF9D-5323-4896-AE26-32E51B137E13}" destId="{53E78692-A387-468C-8AF6-75B55150F00E}" srcOrd="1" destOrd="0" parTransId="{9F0F3447-27B3-4C4C-AA74-EA130DA7EC0B}" sibTransId="{D57B18F6-82BC-40EF-8D8C-00C62A7BCD2D}"/>
    <dgm:cxn modelId="{A9ECFBB6-444D-4DF2-B96F-A0399084DB52}" type="presOf" srcId="{53E78692-A387-468C-8AF6-75B55150F00E}" destId="{4AF387EC-071A-495C-B3C8-8FD928F3F851}" srcOrd="0" destOrd="0" presId="urn:microsoft.com/office/officeart/2005/8/layout/hProcess9"/>
    <dgm:cxn modelId="{A9C2CBC4-D4AD-4390-A2E1-9BBA3EA593B8}" type="presOf" srcId="{8EC8719F-8C9B-476B-98F8-1AE44BA86555}" destId="{4AF387EC-071A-495C-B3C8-8FD928F3F851}" srcOrd="0" destOrd="2" presId="urn:microsoft.com/office/officeart/2005/8/layout/hProcess9"/>
    <dgm:cxn modelId="{A5053DD7-5152-41E4-B141-B19AD435AC73}" srcId="{53E78692-A387-468C-8AF6-75B55150F00E}" destId="{8EC8719F-8C9B-476B-98F8-1AE44BA86555}" srcOrd="1" destOrd="0" parTransId="{E3284D04-025D-430E-BD60-98E31885BEF1}" sibTransId="{8AD8E199-EB19-4160-A91D-0BD2D9A2633B}"/>
    <dgm:cxn modelId="{347036E4-D246-42E6-9B42-82AB6CC0AB6E}" type="presOf" srcId="{F6A4E565-2BEF-4FEF-8F21-4D0A2426660F}" destId="{4AF387EC-071A-495C-B3C8-8FD928F3F851}" srcOrd="0" destOrd="1" presId="urn:microsoft.com/office/officeart/2005/8/layout/hProcess9"/>
    <dgm:cxn modelId="{E2F98EEB-E8C5-4F80-A8FF-778AF382F9BD}" type="presOf" srcId="{4173FF9D-5323-4896-AE26-32E51B137E13}" destId="{D4BF4E1A-1A3F-4580-8BFD-70414F3F5DFE}" srcOrd="0" destOrd="0" presId="urn:microsoft.com/office/officeart/2005/8/layout/hProcess9"/>
    <dgm:cxn modelId="{35A80DEC-41F1-4DF1-A7B3-97D773FB82D2}" type="presOf" srcId="{6648B837-72B9-4317-BD95-466BDDC70F21}" destId="{DE0BD434-849F-4135-AAA4-AFA4E216BFC6}" srcOrd="0" destOrd="2" presId="urn:microsoft.com/office/officeart/2005/8/layout/hProcess9"/>
    <dgm:cxn modelId="{FC52EEF0-846C-468A-A94A-76BAD9428B99}" srcId="{4173FF9D-5323-4896-AE26-32E51B137E13}" destId="{6C6F4E1C-A4CD-4408-B8D8-57C0B50E4216}" srcOrd="2" destOrd="0" parTransId="{EBA17695-3225-49CC-8947-0CB7785E85CB}" sibTransId="{FF261061-0F82-442A-A9EC-FE73D061F632}"/>
    <dgm:cxn modelId="{12C018F5-114A-4E68-B78D-1B737E211AE1}" srcId="{C6FE03DD-B8B2-4F7B-89FE-F1F9B8B58041}" destId="{19E38DFE-C139-4E01-9EE7-C3B28CEB3E88}" srcOrd="0" destOrd="0" parTransId="{EA687DB3-8E22-4F77-9A97-1A1546A64BC2}" sibTransId="{E0E8B215-35DE-4FA1-90B3-CDDFFBFE8F4D}"/>
    <dgm:cxn modelId="{DAD890F8-E55E-4BC3-9AC9-DEB7B39005A5}" srcId="{C6FE03DD-B8B2-4F7B-89FE-F1F9B8B58041}" destId="{59DAE2AE-AC20-47F1-805F-EEF348E22EA2}" srcOrd="1" destOrd="0" parTransId="{DFD42484-475D-4BE6-8534-89DFFD57BEEB}" sibTransId="{06305694-21EB-4753-ACDF-E16CF197158D}"/>
    <dgm:cxn modelId="{9DCCC64E-9736-48E0-B79B-4F9E3FA013B5}" type="presParOf" srcId="{D4BF4E1A-1A3F-4580-8BFD-70414F3F5DFE}" destId="{5E75CDF1-1425-4425-B947-36B2AD341E94}" srcOrd="0" destOrd="0" presId="urn:microsoft.com/office/officeart/2005/8/layout/hProcess9"/>
    <dgm:cxn modelId="{C423E5C7-5E19-4CB6-A2F8-7B9DFC29CB3E}" type="presParOf" srcId="{D4BF4E1A-1A3F-4580-8BFD-70414F3F5DFE}" destId="{3CAEE456-2A9E-43BA-AA91-5C443A8B5630}" srcOrd="1" destOrd="0" presId="urn:microsoft.com/office/officeart/2005/8/layout/hProcess9"/>
    <dgm:cxn modelId="{BFF2E25A-38A2-4206-AB33-36E5978A7898}" type="presParOf" srcId="{3CAEE456-2A9E-43BA-AA91-5C443A8B5630}" destId="{757AE223-1256-4756-98B5-071C900A0DA8}" srcOrd="0" destOrd="0" presId="urn:microsoft.com/office/officeart/2005/8/layout/hProcess9"/>
    <dgm:cxn modelId="{018BF93B-6D37-4D4E-AF83-3CDBEE17E38F}" type="presParOf" srcId="{3CAEE456-2A9E-43BA-AA91-5C443A8B5630}" destId="{04CA75D5-A336-433B-94D3-D55701430297}" srcOrd="1" destOrd="0" presId="urn:microsoft.com/office/officeart/2005/8/layout/hProcess9"/>
    <dgm:cxn modelId="{E44B6764-23EA-417D-985A-B7EBBD1189C8}" type="presParOf" srcId="{3CAEE456-2A9E-43BA-AA91-5C443A8B5630}" destId="{4AF387EC-071A-495C-B3C8-8FD928F3F851}" srcOrd="2" destOrd="0" presId="urn:microsoft.com/office/officeart/2005/8/layout/hProcess9"/>
    <dgm:cxn modelId="{0E577DCC-9C34-401F-8B75-F3AD780A7BF1}" type="presParOf" srcId="{3CAEE456-2A9E-43BA-AA91-5C443A8B5630}" destId="{3BF14AD8-4E61-410E-BD98-650BE33B76F0}" srcOrd="3" destOrd="0" presId="urn:microsoft.com/office/officeart/2005/8/layout/hProcess9"/>
    <dgm:cxn modelId="{B565D461-B469-4A17-9F10-38BA854B8179}" type="presParOf" srcId="{3CAEE456-2A9E-43BA-AA91-5C443A8B5630}" destId="{DE0BD434-849F-4135-AAA4-AFA4E216BFC6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8" minVer="http://schemas.openxmlformats.org/drawingml/2006/diagram"/>
    </a:ext>
    <a:ext uri="{C62137D5-CB1D-491B-B009-E17868A290BF}">
      <dgm14:recolorImg xmlns:dgm14="http://schemas.microsoft.com/office/drawing/2010/diagram" val="1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5E75CDF1-1425-4425-B947-36B2AD341E94}">
      <dsp:nvSpPr>
        <dsp:cNvPr id="0" name=""/>
        <dsp:cNvSpPr/>
      </dsp:nvSpPr>
      <dsp:spPr>
        <a:xfrm>
          <a:off x="342899" y="0"/>
          <a:ext cx="3886200" cy="2743200"/>
        </a:xfrm>
        <a:prstGeom prst="rightArrow">
          <a:avLst/>
        </a:prstGeom>
        <a:gradFill rotWithShape="0">
          <a:gsLst>
            <a:gs pos="0">
              <a:schemeClr val="accent3">
                <a:tint val="40000"/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tint val="40000"/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tint val="40000"/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z="-190500" extrusionH="12700" prstMaterial="plastic">
          <a:bevelT w="50800" h="50800"/>
        </a:sp3d>
      </dsp:spPr>
      <dsp:style>
        <a:lnRef idx="0">
          <a:scrgbClr r="0" g="0" b="0"/>
        </a:lnRef>
        <a:fillRef idx="3">
          <a:scrgbClr r="0" g="0" b="0"/>
        </a:fillRef>
        <a:effectRef idx="0">
          <a:scrgbClr r="0" g="0" b="0"/>
        </a:effectRef>
        <a:fontRef idx="minor"/>
      </dsp:style>
    </dsp:sp>
    <dsp:sp modelId="{757AE223-1256-4756-98B5-071C900A0DA8}">
      <dsp:nvSpPr>
        <dsp:cNvPr id="0" name=""/>
        <dsp:cNvSpPr/>
      </dsp:nvSpPr>
      <dsp:spPr>
        <a:xfrm>
          <a:off x="154930" y="822960"/>
          <a:ext cx="1371600" cy="1097280"/>
        </a:xfrm>
        <a:prstGeom prst="roundRect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t" anchorCtr="0">
          <a:noAutofit/>
        </a:bodyPr>
        <a:lstStyle/>
        <a:p>
          <a:pPr marL="0" lvl="0" indent="0" algn="l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1400" kern="1200"/>
            <a:t>Collect Income</a:t>
          </a:r>
          <a:endParaRPr lang="en-US" sz="14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Salary/ side income</a:t>
          </a:r>
          <a:endParaRPr lang="en-US" sz="11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Set a target amount</a:t>
          </a:r>
          <a:endParaRPr lang="en-US" sz="1100" kern="1200"/>
        </a:p>
      </dsp:txBody>
      <dsp:txXfrm>
        <a:off x="208495" y="876525"/>
        <a:ext cx="1264470" cy="990150"/>
      </dsp:txXfrm>
    </dsp:sp>
    <dsp:sp modelId="{4AF387EC-071A-495C-B3C8-8FD928F3F851}">
      <dsp:nvSpPr>
        <dsp:cNvPr id="0" name=""/>
        <dsp:cNvSpPr/>
      </dsp:nvSpPr>
      <dsp:spPr>
        <a:xfrm>
          <a:off x="1600199" y="822960"/>
          <a:ext cx="1371600" cy="1097280"/>
        </a:xfrm>
        <a:prstGeom prst="roundRect">
          <a:avLst/>
        </a:prstGeom>
        <a:gradFill rotWithShape="0">
          <a:gsLst>
            <a:gs pos="0">
              <a:schemeClr val="accent3">
                <a:hueOff val="2058582"/>
                <a:satOff val="12356"/>
                <a:lumOff val="9413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2058582"/>
                <a:satOff val="12356"/>
                <a:lumOff val="9413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2058582"/>
                <a:satOff val="12356"/>
                <a:lumOff val="9413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t" anchorCtr="0">
          <a:noAutofit/>
        </a:bodyPr>
        <a:lstStyle/>
        <a:p>
          <a:pPr marL="0" lvl="0" indent="0" algn="l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1400" kern="1200"/>
            <a:t>Plan Spending</a:t>
          </a:r>
          <a:endParaRPr lang="en-US" sz="14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Bills</a:t>
          </a:r>
          <a:endParaRPr lang="en-US" sz="11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Daily needs</a:t>
          </a:r>
          <a:endParaRPr lang="en-US" sz="1100" kern="1200"/>
        </a:p>
      </dsp:txBody>
      <dsp:txXfrm>
        <a:off x="1653764" y="876525"/>
        <a:ext cx="1264470" cy="990150"/>
      </dsp:txXfrm>
    </dsp:sp>
    <dsp:sp modelId="{DE0BD434-849F-4135-AAA4-AFA4E216BFC6}">
      <dsp:nvSpPr>
        <dsp:cNvPr id="0" name=""/>
        <dsp:cNvSpPr/>
      </dsp:nvSpPr>
      <dsp:spPr>
        <a:xfrm>
          <a:off x="3045469" y="822960"/>
          <a:ext cx="1371600" cy="1097280"/>
        </a:xfrm>
        <a:prstGeom prst="roundRect">
          <a:avLst/>
        </a:prstGeom>
        <a:gradFill rotWithShape="0">
          <a:gsLst>
            <a:gs pos="0">
              <a:schemeClr val="accent3">
                <a:hueOff val="4117163"/>
                <a:satOff val="24712"/>
                <a:lumOff val="18825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4117163"/>
                <a:satOff val="24712"/>
                <a:lumOff val="18825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4117163"/>
                <a:satOff val="24712"/>
                <a:lumOff val="18825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t" anchorCtr="0">
          <a:noAutofit/>
        </a:bodyPr>
        <a:lstStyle/>
        <a:p>
          <a:pPr marL="0" lvl="0" indent="0" algn="l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1400" kern="1200"/>
            <a:t>Review &amp; Adjust</a:t>
          </a:r>
          <a:endParaRPr lang="en-US" sz="14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Money left</a:t>
          </a:r>
          <a:endParaRPr lang="en-US" sz="11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Cut unnecessary spending</a:t>
          </a:r>
          <a:endParaRPr lang="en-US" sz="1100" kern="1200"/>
        </a:p>
      </dsp:txBody>
      <dsp:txXfrm>
        <a:off x="3099034" y="876525"/>
        <a:ext cx="1264470" cy="990150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5E75CDF1-1425-4425-B947-36B2AD341E94}">
      <dsp:nvSpPr>
        <dsp:cNvPr id="0" name=""/>
        <dsp:cNvSpPr/>
      </dsp:nvSpPr>
      <dsp:spPr>
        <a:xfrm>
          <a:off x="557184" y="0"/>
          <a:ext cx="6314761" cy="3987017"/>
        </a:xfrm>
        <a:prstGeom prst="rightArrow">
          <a:avLst/>
        </a:prstGeom>
        <a:gradFill rotWithShape="0">
          <a:gsLst>
            <a:gs pos="0">
              <a:schemeClr val="accent3">
                <a:tint val="40000"/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tint val="40000"/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tint val="40000"/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z="-190500" extrusionH="12700" prstMaterial="plastic">
          <a:bevelT w="50800" h="50800"/>
        </a:sp3d>
      </dsp:spPr>
      <dsp:style>
        <a:lnRef idx="0">
          <a:scrgbClr r="0" g="0" b="0"/>
        </a:lnRef>
        <a:fillRef idx="3">
          <a:scrgbClr r="0" g="0" b="0"/>
        </a:fillRef>
        <a:effectRef idx="0">
          <a:scrgbClr r="0" g="0" b="0"/>
        </a:effectRef>
        <a:fontRef idx="minor"/>
      </dsp:style>
    </dsp:sp>
    <dsp:sp modelId="{757AE223-1256-4756-98B5-071C900A0DA8}">
      <dsp:nvSpPr>
        <dsp:cNvPr id="0" name=""/>
        <dsp:cNvSpPr/>
      </dsp:nvSpPr>
      <dsp:spPr>
        <a:xfrm>
          <a:off x="1587" y="1196105"/>
          <a:ext cx="2379190" cy="1594806"/>
        </a:xfrm>
        <a:prstGeom prst="roundRect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87630" tIns="87630" rIns="87630" bIns="87630" numCol="1" spcCol="1270" anchor="t" anchorCtr="0">
          <a:noAutofit/>
        </a:bodyPr>
        <a:lstStyle/>
        <a:p>
          <a:pPr marL="0" lvl="0" indent="0" algn="l" defTabSz="10223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2300" kern="1200"/>
            <a:t>Collect Income</a:t>
          </a:r>
          <a:endParaRPr lang="en-US" sz="2300" kern="1200"/>
        </a:p>
        <a:p>
          <a:pPr marL="171450" lvl="1" indent="-171450" algn="l" defTabSz="8001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800" kern="1200"/>
            <a:t>Salary/ side income</a:t>
          </a:r>
          <a:endParaRPr lang="en-US" sz="1800" kern="1200"/>
        </a:p>
        <a:p>
          <a:pPr marL="171450" lvl="1" indent="-171450" algn="l" defTabSz="8001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800" kern="1200"/>
            <a:t>Set a target amount</a:t>
          </a:r>
          <a:endParaRPr lang="en-US" sz="1800" kern="1200"/>
        </a:p>
      </dsp:txBody>
      <dsp:txXfrm>
        <a:off x="79439" y="1273957"/>
        <a:ext cx="2223486" cy="1439102"/>
      </dsp:txXfrm>
    </dsp:sp>
    <dsp:sp modelId="{4AF387EC-071A-495C-B3C8-8FD928F3F851}">
      <dsp:nvSpPr>
        <dsp:cNvPr id="0" name=""/>
        <dsp:cNvSpPr/>
      </dsp:nvSpPr>
      <dsp:spPr>
        <a:xfrm>
          <a:off x="2524970" y="1196105"/>
          <a:ext cx="2379190" cy="1594806"/>
        </a:xfrm>
        <a:prstGeom prst="roundRect">
          <a:avLst/>
        </a:prstGeom>
        <a:gradFill rotWithShape="0">
          <a:gsLst>
            <a:gs pos="0">
              <a:schemeClr val="accent3">
                <a:hueOff val="2058582"/>
                <a:satOff val="12356"/>
                <a:lumOff val="9413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2058582"/>
                <a:satOff val="12356"/>
                <a:lumOff val="9413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2058582"/>
                <a:satOff val="12356"/>
                <a:lumOff val="9413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87630" tIns="87630" rIns="87630" bIns="87630" numCol="1" spcCol="1270" anchor="t" anchorCtr="0">
          <a:noAutofit/>
        </a:bodyPr>
        <a:lstStyle/>
        <a:p>
          <a:pPr marL="0" lvl="0" indent="0" algn="l" defTabSz="10223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2300" kern="1200"/>
            <a:t>Plan Spending</a:t>
          </a:r>
          <a:endParaRPr lang="en-US" sz="2300" kern="1200"/>
        </a:p>
        <a:p>
          <a:pPr marL="171450" lvl="1" indent="-171450" algn="l" defTabSz="8001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800" kern="1200"/>
            <a:t>Bills</a:t>
          </a:r>
          <a:endParaRPr lang="en-US" sz="1800" kern="1200"/>
        </a:p>
        <a:p>
          <a:pPr marL="171450" lvl="1" indent="-171450" algn="l" defTabSz="8001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800" kern="1200"/>
            <a:t>Daily needs</a:t>
          </a:r>
          <a:endParaRPr lang="en-US" sz="1800" kern="1200"/>
        </a:p>
      </dsp:txBody>
      <dsp:txXfrm>
        <a:off x="2602822" y="1273957"/>
        <a:ext cx="2223486" cy="1439102"/>
      </dsp:txXfrm>
    </dsp:sp>
    <dsp:sp modelId="{DE0BD434-849F-4135-AAA4-AFA4E216BFC6}">
      <dsp:nvSpPr>
        <dsp:cNvPr id="0" name=""/>
        <dsp:cNvSpPr/>
      </dsp:nvSpPr>
      <dsp:spPr>
        <a:xfrm>
          <a:off x="5048353" y="1196105"/>
          <a:ext cx="2379190" cy="1594806"/>
        </a:xfrm>
        <a:prstGeom prst="roundRect">
          <a:avLst/>
        </a:prstGeom>
        <a:gradFill rotWithShape="0">
          <a:gsLst>
            <a:gs pos="0">
              <a:schemeClr val="accent3">
                <a:hueOff val="4117163"/>
                <a:satOff val="24712"/>
                <a:lumOff val="18825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4117163"/>
                <a:satOff val="24712"/>
                <a:lumOff val="18825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4117163"/>
                <a:satOff val="24712"/>
                <a:lumOff val="18825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87630" tIns="87630" rIns="87630" bIns="87630" numCol="1" spcCol="1270" anchor="t" anchorCtr="0">
          <a:noAutofit/>
        </a:bodyPr>
        <a:lstStyle/>
        <a:p>
          <a:pPr marL="0" lvl="0" indent="0" algn="l" defTabSz="10223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2300" kern="1200"/>
            <a:t>Review &amp; Adjust</a:t>
          </a:r>
          <a:endParaRPr lang="en-US" sz="2300" kern="1200"/>
        </a:p>
        <a:p>
          <a:pPr marL="171450" lvl="1" indent="-171450" algn="l" defTabSz="8001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800" kern="1200"/>
            <a:t>Money left</a:t>
          </a:r>
          <a:endParaRPr lang="en-US" sz="1800" kern="1200"/>
        </a:p>
        <a:p>
          <a:pPr marL="171450" lvl="1" indent="-171450" algn="l" defTabSz="8001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800" kern="1200"/>
            <a:t>Cut unnecessary spending</a:t>
          </a:r>
          <a:endParaRPr lang="en-US" sz="1800" kern="1200"/>
        </a:p>
      </dsp:txBody>
      <dsp:txXfrm>
        <a:off x="5126205" y="1273957"/>
        <a:ext cx="2223486" cy="1439102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3d1">
  <dgm:title val=""/>
  <dgm:desc val=""/>
  <dgm:catLst>
    <dgm:cat type="3D" pri="11100"/>
  </dgm:catLst>
  <dgm:scene3d>
    <a:camera prst="orthographicFront"/>
    <a:lightRig rig="threePt" dir="t"/>
  </dgm:scene3d>
  <dgm:styleLbl name="node0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flat" dir="t"/>
    </dgm:scene3d>
    <dgm:sp3d z="127000"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alignImgPlace1">
    <dgm:scene3d>
      <a:camera prst="orthographicFront"/>
      <a:lightRig rig="flat" dir="t"/>
    </dgm:scene3d>
    <dgm:sp3d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bgImgPlace1">
    <dgm:scene3d>
      <a:camera prst="orthographicFront"/>
      <a:lightRig rig="flat" dir="t"/>
    </dgm:scene3d>
    <dgm:sp3d z="-190500"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sibTrans2D1">
    <dgm:scene3d>
      <a:camera prst="orthographicFront"/>
      <a:lightRig rig="flat" dir="t"/>
    </dgm:scene3d>
    <dgm:sp3d z="-800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flat" dir="t"/>
    </dgm:scene3d>
    <dgm:sp3d z="1270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flat" dir="t"/>
    </dgm:scene3d>
    <dgm:sp3d z="-1905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flat" dir="t"/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flat" dir="t"/>
    </dgm:scene3d>
    <dgm:sp3d z="-10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FollowNode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0">
        <a:scrgbClr r="0" g="0" b="0"/>
      </a:lnRef>
      <a:fillRef idx="2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flat" dir="t"/>
    </dgm:scene3d>
    <dgm:sp3d z="-190500" extrusionH="127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flat" dir="t"/>
    </dgm:scene3d>
    <dgm:sp3d z="190500" prstMaterial="plastic">
      <a:bevelT w="120900" h="88900"/>
      <a:bevelB w="88900" h="31750" prst="angle"/>
    </dgm:sp3d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3d1">
  <dgm:title val=""/>
  <dgm:desc val=""/>
  <dgm:catLst>
    <dgm:cat type="3D" pri="11100"/>
  </dgm:catLst>
  <dgm:scene3d>
    <a:camera prst="orthographicFront"/>
    <a:lightRig rig="threePt" dir="t"/>
  </dgm:scene3d>
  <dgm:styleLbl name="node0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flat" dir="t"/>
    </dgm:scene3d>
    <dgm:sp3d z="127000"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alignImgPlace1">
    <dgm:scene3d>
      <a:camera prst="orthographicFront"/>
      <a:lightRig rig="flat" dir="t"/>
    </dgm:scene3d>
    <dgm:sp3d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bgImgPlace1">
    <dgm:scene3d>
      <a:camera prst="orthographicFront"/>
      <a:lightRig rig="flat" dir="t"/>
    </dgm:scene3d>
    <dgm:sp3d z="-190500"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sibTrans2D1">
    <dgm:scene3d>
      <a:camera prst="orthographicFront"/>
      <a:lightRig rig="flat" dir="t"/>
    </dgm:scene3d>
    <dgm:sp3d z="-800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flat" dir="t"/>
    </dgm:scene3d>
    <dgm:sp3d z="1270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flat" dir="t"/>
    </dgm:scene3d>
    <dgm:sp3d z="-1905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flat" dir="t"/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flat" dir="t"/>
    </dgm:scene3d>
    <dgm:sp3d z="-10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FollowNode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0">
        <a:scrgbClr r="0" g="0" b="0"/>
      </a:lnRef>
      <a:fillRef idx="2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flat" dir="t"/>
    </dgm:scene3d>
    <dgm:sp3d z="-190500" extrusionH="127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flat" dir="t"/>
    </dgm:scene3d>
    <dgm:sp3d z="190500" prstMaterial="plastic">
      <a:bevelT w="120900" h="88900"/>
      <a:bevelB w="88900" h="31750" prst="angle"/>
    </dgm:sp3d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8" Type="http://schemas.microsoft.com/office/2007/relationships/diagramDrawing" Target="../diagrams/drawing1.xml"/><Relationship Id="rId3" Type="http://schemas.openxmlformats.org/officeDocument/2006/relationships/image" Target="../media/image4.svg"/><Relationship Id="rId7" Type="http://schemas.openxmlformats.org/officeDocument/2006/relationships/diagramColors" Target="../diagrams/colors1.xml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diagramQuickStyle" Target="../diagrams/quickStyle1.xml"/><Relationship Id="rId5" Type="http://schemas.openxmlformats.org/officeDocument/2006/relationships/diagramLayout" Target="../diagrams/layout1.xml"/><Relationship Id="rId4" Type="http://schemas.openxmlformats.org/officeDocument/2006/relationships/diagramData" Target="../diagrams/data1.xml"/><Relationship Id="rId9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8" Type="http://schemas.microsoft.com/office/2007/relationships/diagramDrawing" Target="../diagrams/drawing2.xml"/><Relationship Id="rId3" Type="http://schemas.openxmlformats.org/officeDocument/2006/relationships/image" Target="../media/image4.svg"/><Relationship Id="rId7" Type="http://schemas.openxmlformats.org/officeDocument/2006/relationships/diagramColors" Target="../diagrams/colors2.xml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diagramQuickStyle" Target="../diagrams/quickStyle2.xml"/><Relationship Id="rId5" Type="http://schemas.openxmlformats.org/officeDocument/2006/relationships/diagramLayout" Target="../diagrams/layout2.xml"/><Relationship Id="rId4" Type="http://schemas.openxmlformats.org/officeDocument/2006/relationships/diagramData" Target="../diagrams/data2.xml"/><Relationship Id="rId9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728383</xdr:colOff>
      <xdr:row>0</xdr:row>
      <xdr:rowOff>0</xdr:rowOff>
    </xdr:from>
    <xdr:to>
      <xdr:col>6</xdr:col>
      <xdr:colOff>1266263</xdr:colOff>
      <xdr:row>1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77386F6-359E-41AF-8D81-D324E0F595D0}"/>
            </a:ext>
          </a:extLst>
        </xdr:cNvPr>
        <xdr:cNvSpPr txBox="1"/>
      </xdr:nvSpPr>
      <xdr:spPr>
        <a:xfrm>
          <a:off x="2233333" y="0"/>
          <a:ext cx="3033430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lang="en-GB" sz="3600">
              <a:solidFill>
                <a:schemeClr val="bg1"/>
              </a:solidFill>
              <a:latin typeface="+mj-lt"/>
            </a:rPr>
            <a:t>Credit Card Name</a:t>
          </a:r>
        </a:p>
      </xdr:txBody>
    </xdr:sp>
    <xdr:clientData/>
  </xdr:twoCellAnchor>
  <xdr:oneCellAnchor>
    <xdr:from>
      <xdr:col>0</xdr:col>
      <xdr:colOff>227610</xdr:colOff>
      <xdr:row>0</xdr:row>
      <xdr:rowOff>7733</xdr:rowOff>
    </xdr:from>
    <xdr:ext cx="10517860" cy="1141104"/>
    <xdr:grpSp>
      <xdr:nvGrpSpPr>
        <xdr:cNvPr id="3" name="Group 2" descr="decorative element with hand holding credit card">
          <a:extLst>
            <a:ext uri="{FF2B5EF4-FFF2-40B4-BE49-F238E27FC236}">
              <a16:creationId xmlns:a16="http://schemas.microsoft.com/office/drawing/2014/main" id="{C0C06B87-7A68-485E-BAAD-81FFB7B5F7EE}"/>
            </a:ext>
          </a:extLst>
        </xdr:cNvPr>
        <xdr:cNvGrpSpPr/>
      </xdr:nvGrpSpPr>
      <xdr:grpSpPr>
        <a:xfrm>
          <a:off x="227610" y="7733"/>
          <a:ext cx="10517860" cy="1141104"/>
          <a:chOff x="227610" y="7733"/>
          <a:chExt cx="10484748" cy="1139743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D14587C6-797C-65E4-ECDC-3953710078B3}"/>
              </a:ext>
            </a:extLst>
          </xdr:cNvPr>
          <xdr:cNvGrpSpPr/>
        </xdr:nvGrpSpPr>
        <xdr:grpSpPr>
          <a:xfrm>
            <a:off x="227919" y="7733"/>
            <a:ext cx="10484439" cy="1137269"/>
            <a:chOff x="224117" y="0"/>
            <a:chExt cx="10467089" cy="1135268"/>
          </a:xfrm>
        </xdr:grpSpPr>
        <xdr:sp macro="" textlink="">
          <xdr:nvSpPr>
            <xdr:cNvPr id="6" name="Rectangle 5">
              <a:extLst>
                <a:ext uri="{FF2B5EF4-FFF2-40B4-BE49-F238E27FC236}">
                  <a16:creationId xmlns:a16="http://schemas.microsoft.com/office/drawing/2014/main" id="{E17A6D2E-70CA-86D9-ECEC-F3AC7E0ACF40}"/>
                </a:ext>
              </a:extLst>
            </xdr:cNvPr>
            <xdr:cNvSpPr/>
          </xdr:nvSpPr>
          <xdr:spPr>
            <a:xfrm>
              <a:off x="224117" y="14655"/>
              <a:ext cx="10467089" cy="1120613"/>
            </a:xfrm>
            <a:prstGeom prst="rect">
              <a:avLst/>
            </a:prstGeom>
            <a:solidFill>
              <a:schemeClr val="tx2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GB" sz="1100"/>
            </a:p>
          </xdr:txBody>
        </xdr:sp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8D864E98-5C5E-A6F8-75DB-FE901E91FC7A}"/>
                </a:ext>
              </a:extLst>
            </xdr:cNvPr>
            <xdr:cNvSpPr txBox="1"/>
          </xdr:nvSpPr>
          <xdr:spPr>
            <a:xfrm>
              <a:off x="1826071" y="0"/>
              <a:ext cx="8651051" cy="112058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 anchorCtr="0"/>
            <a:lstStyle/>
            <a:p>
              <a:r>
                <a:rPr lang="en-US" sz="4400">
                  <a:solidFill>
                    <a:schemeClr val="bg1"/>
                  </a:solidFill>
                  <a:latin typeface="+mj-lt"/>
                </a:rPr>
                <a:t>Woodgrove</a:t>
              </a:r>
              <a:r>
                <a:rPr lang="pl-PL" sz="4400">
                  <a:solidFill>
                    <a:schemeClr val="bg1"/>
                  </a:solidFill>
                  <a:latin typeface="+mj-lt"/>
                </a:rPr>
                <a:t> Bank</a:t>
              </a:r>
              <a:r>
                <a:rPr lang="en-US" sz="4400">
                  <a:solidFill>
                    <a:schemeClr val="bg1"/>
                  </a:solidFill>
                  <a:latin typeface="+mj-lt"/>
                </a:rPr>
                <a:t> debit card</a:t>
              </a:r>
              <a:endParaRPr lang="pl-PL" sz="4400">
                <a:solidFill>
                  <a:schemeClr val="bg1"/>
                </a:solidFill>
                <a:latin typeface="+mj-lt"/>
              </a:endParaRPr>
            </a:p>
          </xdr:txBody>
        </xdr:sp>
      </xdr:grpSp>
      <xdr:pic>
        <xdr:nvPicPr>
          <xdr:cNvPr id="5" name="Picture 4" descr="hand holding credit card">
            <a:extLst>
              <a:ext uri="{FF2B5EF4-FFF2-40B4-BE49-F238E27FC236}">
                <a16:creationId xmlns:a16="http://schemas.microsoft.com/office/drawing/2014/main" id="{718BAD77-46BF-01AF-D5A1-5822A41CD53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27610" y="159357"/>
            <a:ext cx="1398191" cy="988119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7051" cy="60732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EA37F3-856C-3F4B-EC7D-9C8AAEE5EBC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1424609</xdr:colOff>
      <xdr:row>2</xdr:row>
      <xdr:rowOff>24849</xdr:rowOff>
    </xdr:from>
    <xdr:to>
      <xdr:col>2</xdr:col>
      <xdr:colOff>26366</xdr:colOff>
      <xdr:row>2</xdr:row>
      <xdr:rowOff>432362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6CAA2C-FB99-E6BC-3A50-973BF3F80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4196" y="405849"/>
          <a:ext cx="299692" cy="407513"/>
        </a:xfrm>
        <a:prstGeom prst="rect">
          <a:avLst/>
        </a:prstGeom>
      </xdr:spPr>
    </xdr:pic>
    <xdr:clientData/>
  </xdr:twoCellAnchor>
  <xdr:twoCellAnchor>
    <xdr:from>
      <xdr:col>7</xdr:col>
      <xdr:colOff>49695</xdr:colOff>
      <xdr:row>5</xdr:row>
      <xdr:rowOff>8283</xdr:rowOff>
    </xdr:from>
    <xdr:to>
      <xdr:col>7</xdr:col>
      <xdr:colOff>571500</xdr:colOff>
      <xdr:row>6</xdr:row>
      <xdr:rowOff>16565</xdr:rowOff>
    </xdr:to>
    <xdr:sp macro="" textlink="">
      <xdr:nvSpPr>
        <xdr:cNvPr id="3" name="Arrow: Left 2">
          <a:extLst>
            <a:ext uri="{FF2B5EF4-FFF2-40B4-BE49-F238E27FC236}">
              <a16:creationId xmlns:a16="http://schemas.microsoft.com/office/drawing/2014/main" id="{9BD4A7F3-4950-43A5-4DE6-20B12FF33954}"/>
            </a:ext>
          </a:extLst>
        </xdr:cNvPr>
        <xdr:cNvSpPr/>
      </xdr:nvSpPr>
      <xdr:spPr>
        <a:xfrm>
          <a:off x="6626086" y="1275522"/>
          <a:ext cx="521805" cy="207065"/>
        </a:xfrm>
        <a:prstGeom prst="leftArrow">
          <a:avLst>
            <a:gd name="adj1" fmla="val 42001"/>
            <a:gd name="adj2" fmla="val 110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525647</xdr:colOff>
      <xdr:row>1</xdr:row>
      <xdr:rowOff>148788</xdr:rowOff>
    </xdr:from>
    <xdr:to>
      <xdr:col>6</xdr:col>
      <xdr:colOff>157984</xdr:colOff>
      <xdr:row>3</xdr:row>
      <xdr:rowOff>38100</xdr:rowOff>
    </xdr:to>
    <xdr:pic>
      <xdr:nvPicPr>
        <xdr:cNvPr id="15" name="Graphic 14" descr="Smiling face outline with solid fill">
          <a:extLst>
            <a:ext uri="{FF2B5EF4-FFF2-40B4-BE49-F238E27FC236}">
              <a16:creationId xmlns:a16="http://schemas.microsoft.com/office/drawing/2014/main" id="{246A6E50-5C5F-3D27-78FE-4545FC91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364347" y="339288"/>
          <a:ext cx="556262" cy="556062"/>
        </a:xfrm>
        <a:prstGeom prst="rect">
          <a:avLst/>
        </a:prstGeom>
      </xdr:spPr>
    </xdr:pic>
    <xdr:clientData/>
  </xdr:twoCellAnchor>
  <xdr:twoCellAnchor>
    <xdr:from>
      <xdr:col>1</xdr:col>
      <xdr:colOff>1581150</xdr:colOff>
      <xdr:row>17</xdr:row>
      <xdr:rowOff>80962</xdr:rowOff>
    </xdr:from>
    <xdr:to>
      <xdr:col>6</xdr:col>
      <xdr:colOff>733425</xdr:colOff>
      <xdr:row>31</xdr:row>
      <xdr:rowOff>157162</xdr:rowOff>
    </xdr:to>
    <xdr:graphicFrame macro="">
      <xdr:nvGraphicFramePr>
        <xdr:cNvPr id="22" name="Diagram 21">
          <a:extLst>
            <a:ext uri="{FF2B5EF4-FFF2-40B4-BE49-F238E27FC236}">
              <a16:creationId xmlns:a16="http://schemas.microsoft.com/office/drawing/2014/main" id="{B834F5D5-B720-1347-31F7-1ED89986D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4" r:lo="rId5" r:qs="rId6" r:cs="rId7"/>
        </a:graphicData>
      </a:graphic>
    </xdr:graphicFrame>
    <xdr:clientData/>
  </xdr:twoCellAnchor>
  <xdr:absoluteAnchor>
    <xdr:pos x="6862395" y="2302329"/>
    <xdr:ext cx="4615229" cy="3572609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4D6369F5-ED15-4DD4-AD5A-D8DDE7DEB31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1424609</xdr:colOff>
      <xdr:row>17</xdr:row>
      <xdr:rowOff>24849</xdr:rowOff>
    </xdr:from>
    <xdr:to>
      <xdr:col>2</xdr:col>
      <xdr:colOff>26366</xdr:colOff>
      <xdr:row>17</xdr:row>
      <xdr:rowOff>432362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A1BF6-6ABD-4573-839F-EAD1BB637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7509" y="405849"/>
          <a:ext cx="297207" cy="407513"/>
        </a:xfrm>
        <a:prstGeom prst="rect">
          <a:avLst/>
        </a:prstGeom>
      </xdr:spPr>
    </xdr:pic>
    <xdr:clientData/>
  </xdr:twoCellAnchor>
  <xdr:twoCellAnchor>
    <xdr:from>
      <xdr:col>7</xdr:col>
      <xdr:colOff>49695</xdr:colOff>
      <xdr:row>20</xdr:row>
      <xdr:rowOff>8283</xdr:rowOff>
    </xdr:from>
    <xdr:to>
      <xdr:col>7</xdr:col>
      <xdr:colOff>571500</xdr:colOff>
      <xdr:row>21</xdr:row>
      <xdr:rowOff>16565</xdr:rowOff>
    </xdr:to>
    <xdr:sp macro="" textlink="">
      <xdr:nvSpPr>
        <xdr:cNvPr id="3" name="Arrow: Left 2">
          <a:extLst>
            <a:ext uri="{FF2B5EF4-FFF2-40B4-BE49-F238E27FC236}">
              <a16:creationId xmlns:a16="http://schemas.microsoft.com/office/drawing/2014/main" id="{F1C2944D-C4CC-404C-BE59-5A4B69882CBA}"/>
            </a:ext>
          </a:extLst>
        </xdr:cNvPr>
        <xdr:cNvSpPr/>
      </xdr:nvSpPr>
      <xdr:spPr>
        <a:xfrm>
          <a:off x="2090766" y="1477854"/>
          <a:ext cx="521805" cy="198782"/>
        </a:xfrm>
        <a:prstGeom prst="leftArrow">
          <a:avLst>
            <a:gd name="adj1" fmla="val 42001"/>
            <a:gd name="adj2" fmla="val 110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525647</xdr:colOff>
      <xdr:row>16</xdr:row>
      <xdr:rowOff>148788</xdr:rowOff>
    </xdr:from>
    <xdr:to>
      <xdr:col>6</xdr:col>
      <xdr:colOff>148645</xdr:colOff>
      <xdr:row>18</xdr:row>
      <xdr:rowOff>38100</xdr:rowOff>
    </xdr:to>
    <xdr:pic>
      <xdr:nvPicPr>
        <xdr:cNvPr id="4" name="Graphic 3" descr="Smiling face outline with solid fill">
          <a:extLst>
            <a:ext uri="{FF2B5EF4-FFF2-40B4-BE49-F238E27FC236}">
              <a16:creationId xmlns:a16="http://schemas.microsoft.com/office/drawing/2014/main" id="{77B6F397-6DFC-42D0-AB79-1CDD37B3E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364347" y="339288"/>
          <a:ext cx="556262" cy="556062"/>
        </a:xfrm>
        <a:prstGeom prst="rect">
          <a:avLst/>
        </a:prstGeom>
      </xdr:spPr>
    </xdr:pic>
    <xdr:clientData/>
  </xdr:twoCellAnchor>
  <xdr:twoCellAnchor>
    <xdr:from>
      <xdr:col>17</xdr:col>
      <xdr:colOff>357187</xdr:colOff>
      <xdr:row>17</xdr:row>
      <xdr:rowOff>75395</xdr:rowOff>
    </xdr:from>
    <xdr:to>
      <xdr:col>28</xdr:col>
      <xdr:colOff>556843</xdr:colOff>
      <xdr:row>36</xdr:row>
      <xdr:rowOff>119062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38AD2017-87FA-4A1C-A486-EB80F8B256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4" r:lo="rId5" r:qs="rId6" r:cs="rId7"/>
        </a:graphicData>
      </a:graphic>
    </xdr:graphicFrame>
    <xdr:clientData/>
  </xdr:twoCellAnchor>
  <xdr:absoluteAnchor>
    <xdr:pos x="7948565" y="2713287"/>
    <xdr:ext cx="6934247" cy="4930525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48289B-53CE-4716-B49E-BC0FD982B31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789D22-759C-4849-A1E2-9F97DB7CAD27}" name="Data" displayName="Data" ref="B3:G12" totalsRowCount="1" headerRowDxfId="16" dataDxfId="15" totalsRowDxfId="14" headerRowCellStyle="Normal" dataCellStyle="Normal" totalsRowCellStyle="Normal">
  <autoFilter ref="B3:G11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000-000001000000}" name="Date" totalsRowLabel="Total" dataDxfId="13" totalsRowDxfId="5" dataCellStyle="Date">
      <calculatedColumnFormula>TODAY()</calculatedColumnFormula>
    </tableColumn>
    <tableColumn id="2" xr3:uid="{00000000-0010-0000-0000-000002000000}" name="Description" dataDxfId="12" totalsRowDxfId="4" dataCellStyle="Normal"/>
    <tableColumn id="3" xr3:uid="{00000000-0010-0000-0000-000003000000}" name="Amount" totalsRowFunction="sum" dataDxfId="9" totalsRowDxfId="3" dataCellStyle="Currency"/>
    <tableColumn id="4" xr3:uid="{00000000-0010-0000-0000-000004000000}" name="Merchant name" dataDxfId="11" totalsRowDxfId="2" dataCellStyle="Normal"/>
    <tableColumn id="5" xr3:uid="{00000000-0010-0000-0000-000005000000}" name="Transaction fees" totalsRowFunction="sum" dataDxfId="10" totalsRowDxfId="1" dataCellStyle="Currency"/>
    <tableColumn id="6" xr3:uid="{00000000-0010-0000-0000-000006000000}" name="Balance*" dataDxfId="8" totalsRowDxfId="0" dataCellStyle="Currency [0]">
      <calculatedColumnFormula>IFERROR(IF(ROW()-ROW(Data[[#Headers],[Balance*]])=1,Data[[#This Row],[Transaction fees]]+Data[[#This Row],[Amount]],SUM(INDEX(Data[Amount],1,1):Data[[#This Row],[Amount]],INDEX(Data[Transaction fees],1,1):Data[[#This Row],[Transaction fees]])), "")</calculatedColumnFormula>
    </tableColumn>
  </tableColumns>
  <tableStyleInfo name="Table Style 1" showFirstColumn="0" showLastColumn="1" showRowStripes="1" showColumnStripes="0"/>
  <extLst>
    <ext xmlns:x14="http://schemas.microsoft.com/office/spreadsheetml/2009/9/main" uri="{504A1905-F514-4f6f-8877-14C23A59335A}">
      <x14:table altTextSummary="Enter credit card payment details such as Date, Description, Amount, Merchant Name, and Transaction fees in this table. Balance excluding interest is automatically calculated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66DC9F9-9C3E-45AF-9E00-37983CE5F245}">
  <we:reference id="wa200005502" version="1.0.0.12" store="en-US" storeType="OMEX"/>
  <we:alternateReferences>
    <we:reference id="WA200005502" version="1.0.0.12" store="" storeType="OMEX"/>
  </we:alternateReferences>
  <we:properties>
    <we:property name="docId" value="&quot;XWYTS3fgM4ggIlGvAR70J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56CCD-EE54-4BDE-8496-779611148FD7}">
  <sheetPr>
    <tabColor theme="4"/>
    <pageSetUpPr fitToPage="1"/>
  </sheetPr>
  <dimension ref="B1:G13"/>
  <sheetViews>
    <sheetView showGridLines="0" tabSelected="1" zoomScaleNormal="100" workbookViewId="0">
      <selection activeCell="I2" sqref="I2"/>
    </sheetView>
  </sheetViews>
  <sheetFormatPr defaultColWidth="11.28515625" defaultRowHeight="30" customHeight="1" x14ac:dyDescent="0.25"/>
  <cols>
    <col min="1" max="1" width="3.5703125" style="10" customWidth="1"/>
    <col min="2" max="2" width="17.7109375" style="10" customWidth="1"/>
    <col min="3" max="3" width="33.140625" style="10" customWidth="1"/>
    <col min="4" max="4" width="20.85546875" style="10" customWidth="1"/>
    <col min="5" max="5" width="36.28515625" style="10" customWidth="1"/>
    <col min="6" max="6" width="22.85546875" style="10" customWidth="1"/>
    <col min="7" max="7" width="26.7109375" style="10" customWidth="1"/>
    <col min="8" max="8" width="3.5703125" style="10" customWidth="1"/>
    <col min="9" max="16384" width="11.28515625" style="10"/>
  </cols>
  <sheetData>
    <row r="1" spans="2:7" ht="88.5" customHeight="1" x14ac:dyDescent="0.25">
      <c r="B1" s="19" t="s">
        <v>22</v>
      </c>
      <c r="C1" s="19"/>
      <c r="D1" s="19"/>
      <c r="E1" s="19"/>
      <c r="F1" s="19"/>
      <c r="G1" s="19"/>
    </row>
    <row r="2" spans="2:7" ht="45" customHeight="1" x14ac:dyDescent="0.25">
      <c r="B2" s="18" t="s">
        <v>21</v>
      </c>
    </row>
    <row r="3" spans="2:7" ht="37.5" customHeight="1" x14ac:dyDescent="0.25">
      <c r="B3" s="17" t="s">
        <v>20</v>
      </c>
      <c r="C3" s="17" t="s">
        <v>19</v>
      </c>
      <c r="D3" s="17" t="s">
        <v>18</v>
      </c>
      <c r="E3" s="17" t="s">
        <v>17</v>
      </c>
      <c r="F3" s="17" t="s">
        <v>16</v>
      </c>
      <c r="G3" s="16" t="s">
        <v>15</v>
      </c>
    </row>
    <row r="4" spans="2:7" ht="30" customHeight="1" x14ac:dyDescent="0.25">
      <c r="B4" s="15">
        <v>46023</v>
      </c>
      <c r="C4" s="14" t="s">
        <v>23</v>
      </c>
      <c r="D4" s="25">
        <v>40000</v>
      </c>
      <c r="E4" s="14" t="s">
        <v>24</v>
      </c>
      <c r="F4" s="13">
        <v>0</v>
      </c>
      <c r="G4" s="27">
        <f>IFERROR(IF(ROW()-ROW(Data[[#Headers],[Balance*]])=1,Data[[#This Row],[Transaction fees]]+Data[[#This Row],[Amount]],SUM(INDEX(Data[Amount],1,1):Data[[#This Row],[Amount]],INDEX(Data[Transaction fees],1,1):Data[[#This Row],[Transaction fees]])), "")</f>
        <v>40000</v>
      </c>
    </row>
    <row r="5" spans="2:7" ht="30" customHeight="1" x14ac:dyDescent="0.25">
      <c r="B5" s="15">
        <v>46024</v>
      </c>
      <c r="C5" s="20" t="s">
        <v>25</v>
      </c>
      <c r="D5" s="25">
        <v>8000</v>
      </c>
      <c r="E5" s="14" t="s">
        <v>26</v>
      </c>
      <c r="F5" s="13">
        <v>0</v>
      </c>
      <c r="G5" s="27">
        <f>IFERROR(IF(ROW()-ROW(Data[[#Headers],[Balance*]])=1,Data[[#This Row],[Transaction fees]]+Data[[#This Row],[Amount]],SUM(INDEX(Data[Amount],1,1):Data[[#This Row],[Amount]],INDEX(Data[Transaction fees],1,1):Data[[#This Row],[Transaction fees]])), "")</f>
        <v>48000</v>
      </c>
    </row>
    <row r="6" spans="2:7" ht="30" customHeight="1" x14ac:dyDescent="0.25">
      <c r="B6" s="15">
        <v>46032</v>
      </c>
      <c r="C6" s="14" t="s">
        <v>27</v>
      </c>
      <c r="D6" s="25">
        <v>12000</v>
      </c>
      <c r="E6" s="14" t="s">
        <v>26</v>
      </c>
      <c r="F6" s="13">
        <v>0</v>
      </c>
      <c r="G6" s="27">
        <f>IFERROR(IF(ROW()-ROW(Data[[#Headers],[Balance*]])=1,Data[[#This Row],[Transaction fees]]+Data[[#This Row],[Amount]],SUM(INDEX(Data[Amount],1,1):Data[[#This Row],[Amount]],INDEX(Data[Transaction fees],1,1):Data[[#This Row],[Transaction fees]])), "")</f>
        <v>60000</v>
      </c>
    </row>
    <row r="7" spans="2:7" ht="30" customHeight="1" x14ac:dyDescent="0.25">
      <c r="B7" s="15">
        <v>46043</v>
      </c>
      <c r="C7" s="14" t="s">
        <v>28</v>
      </c>
      <c r="D7" s="25">
        <v>14000</v>
      </c>
      <c r="E7" s="14" t="s">
        <v>26</v>
      </c>
      <c r="F7" s="13">
        <v>0</v>
      </c>
      <c r="G7" s="27">
        <f>IFERROR(IF(ROW()-ROW(Data[[#Headers],[Balance*]])=1,Data[[#This Row],[Transaction fees]]+Data[[#This Row],[Amount]],SUM(INDEX(Data[Amount],1,1):Data[[#This Row],[Amount]],INDEX(Data[Transaction fees],1,1):Data[[#This Row],[Transaction fees]])), "")</f>
        <v>74000</v>
      </c>
    </row>
    <row r="8" spans="2:7" ht="30" customHeight="1" x14ac:dyDescent="0.25">
      <c r="B8" s="15">
        <v>46051</v>
      </c>
      <c r="C8" s="14" t="s">
        <v>29</v>
      </c>
      <c r="D8" s="25">
        <v>6000</v>
      </c>
      <c r="E8" s="14" t="s">
        <v>26</v>
      </c>
      <c r="F8" s="13">
        <v>0</v>
      </c>
      <c r="G8" s="27">
        <f>IFERROR(IF(ROW()-ROW(Data[[#Headers],[Balance*]])=1,Data[[#This Row],[Transaction fees]]+Data[[#This Row],[Amount]],SUM(INDEX(Data[Amount],1,1):Data[[#This Row],[Amount]],INDEX(Data[Transaction fees],1,1):Data[[#This Row],[Transaction fees]])), "")</f>
        <v>80000</v>
      </c>
    </row>
    <row r="9" spans="2:7" ht="30" customHeight="1" x14ac:dyDescent="0.25">
      <c r="B9" s="15">
        <v>46028</v>
      </c>
      <c r="C9" s="14" t="s">
        <v>30</v>
      </c>
      <c r="D9" s="25">
        <v>-18230</v>
      </c>
      <c r="E9" s="14" t="s">
        <v>24</v>
      </c>
      <c r="F9" s="13">
        <v>0</v>
      </c>
      <c r="G9" s="27">
        <f>IFERROR(IF(ROW()-ROW(Data[[#Headers],[Balance*]])=1,Data[[#This Row],[Transaction fees]]+Data[[#This Row],[Amount]],SUM(INDEX(Data[Amount],1,1):Data[[#This Row],[Amount]],INDEX(Data[Transaction fees],1,1):Data[[#This Row],[Transaction fees]])), "")</f>
        <v>61770</v>
      </c>
    </row>
    <row r="10" spans="2:7" ht="30" customHeight="1" x14ac:dyDescent="0.25">
      <c r="B10" s="15">
        <v>46040</v>
      </c>
      <c r="C10" s="20" t="s">
        <v>31</v>
      </c>
      <c r="D10" s="26">
        <v>-25000</v>
      </c>
      <c r="E10" s="14" t="s">
        <v>24</v>
      </c>
      <c r="F10" s="13">
        <v>0</v>
      </c>
      <c r="G10" s="28">
        <f>IFERROR(IF(ROW()-ROW(Data[[#Headers],[Balance*]])=1,Data[[#This Row],[Transaction fees]]+Data[[#This Row],[Amount]],SUM(INDEX(Data[Amount],1,1):Data[[#This Row],[Amount]],INDEX(Data[Transaction fees],1,1):Data[[#This Row],[Transaction fees]])), "")</f>
        <v>36770</v>
      </c>
    </row>
    <row r="11" spans="2:7" ht="30" customHeight="1" x14ac:dyDescent="0.25">
      <c r="B11" s="15">
        <v>46048</v>
      </c>
      <c r="C11" s="20" t="s">
        <v>32</v>
      </c>
      <c r="D11" s="26">
        <v>-25000</v>
      </c>
      <c r="E11" s="14" t="s">
        <v>24</v>
      </c>
      <c r="F11" s="13">
        <v>0</v>
      </c>
      <c r="G11" s="28">
        <f>IFERROR(IF(ROW()-ROW(Data[[#Headers],[Balance*]])=1,Data[[#This Row],[Transaction fees]]+Data[[#This Row],[Amount]],SUM(INDEX(Data[Amount],1,1):Data[[#This Row],[Amount]],INDEX(Data[Transaction fees],1,1):Data[[#This Row],[Transaction fees]])), "")</f>
        <v>11770</v>
      </c>
    </row>
    <row r="12" spans="2:7" ht="30" customHeight="1" x14ac:dyDescent="0.25">
      <c r="B12" s="21" t="s">
        <v>6</v>
      </c>
      <c r="C12" s="22"/>
      <c r="D12" s="23">
        <f>SUBTOTAL(109,Data[Amount])</f>
        <v>11770</v>
      </c>
      <c r="E12" s="22"/>
      <c r="F12" s="23">
        <f>SUBTOTAL(109,Data[Transaction fees])</f>
        <v>0</v>
      </c>
      <c r="G12" s="24"/>
    </row>
    <row r="13" spans="2:7" ht="30" customHeight="1" x14ac:dyDescent="0.25">
      <c r="F13" s="12"/>
      <c r="G13" s="11" t="s">
        <v>14</v>
      </c>
    </row>
  </sheetData>
  <dataValidations disablePrompts="1" count="8">
    <dataValidation allowBlank="1" showInputMessage="1" showErrorMessage="1" prompt="Balance excluding interest is automatically calculated in this column under this heading" sqref="G3" xr:uid="{00000000-0002-0000-0000-000007000000}"/>
    <dataValidation allowBlank="1" showInputMessage="1" showErrorMessage="1" prompt="Enter Transaction fees in this column under this heading" sqref="F3" xr:uid="{00000000-0002-0000-0000-000006000000}"/>
    <dataValidation allowBlank="1" showInputMessage="1" showErrorMessage="1" prompt="Enter Merchant name in this column under this heading" sqref="E3" xr:uid="{00000000-0002-0000-0000-000005000000}"/>
    <dataValidation allowBlank="1" showInputMessage="1" showErrorMessage="1" prompt="Enter Amount in this column under this heading" sqref="D3" xr:uid="{00000000-0002-0000-0000-000004000000}"/>
    <dataValidation allowBlank="1" showInputMessage="1" showErrorMessage="1" prompt="Enter Description in this column under this heading" sqref="C3" xr:uid="{00000000-0002-0000-0000-000003000000}"/>
    <dataValidation allowBlank="1" showInputMessage="1" showErrorMessage="1" prompt="Enter Date in this column under this heading" sqref="B3" xr:uid="{00000000-0002-0000-0000-000002000000}"/>
    <dataValidation allowBlank="1" showInputMessage="1" showErrorMessage="1" prompt="Title of this worksheet is in this cell. Enter Credit Card Name to update the title" sqref="B1" xr:uid="{00000000-0002-0000-0000-000001000000}"/>
    <dataValidation allowBlank="1" showInputMessage="1" showErrorMessage="1" prompt="Create a credit card log in this worksheet" sqref="A1" xr:uid="{00000000-0002-0000-0000-000000000000}"/>
  </dataValidations>
  <printOptions horizontalCentered="1"/>
  <pageMargins left="0.4" right="0.4" top="0.4" bottom="0.4" header="0.3" footer="0.3"/>
  <pageSetup scale="84" fitToHeight="0" orientation="landscape" r:id="rId1"/>
  <headerFooter differentFirst="1">
    <oddFooter>Page &amp;P of &amp;N</oddFooter>
  </headerFooter>
  <ignoredErrors>
    <ignoredError sqref="B4:B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3905B-E95B-4636-863D-328414AE3C59}">
  <dimension ref="B3:G17"/>
  <sheetViews>
    <sheetView zoomScale="70" zoomScaleNormal="70" workbookViewId="0">
      <selection activeCell="K5" sqref="K5"/>
    </sheetView>
  </sheetViews>
  <sheetFormatPr defaultRowHeight="15" x14ac:dyDescent="0.25"/>
  <cols>
    <col min="1" max="1" width="5.140625" customWidth="1"/>
    <col min="2" max="2" width="25.42578125" customWidth="1"/>
    <col min="3" max="3" width="13.5703125" bestFit="1" customWidth="1"/>
    <col min="4" max="4" width="14.85546875" bestFit="1" customWidth="1"/>
    <col min="5" max="5" width="13.5703125" bestFit="1" customWidth="1"/>
    <col min="6" max="6" width="13.85546875" bestFit="1" customWidth="1"/>
    <col min="7" max="7" width="12.140625" bestFit="1" customWidth="1"/>
  </cols>
  <sheetData>
    <row r="3" spans="2:7" ht="37.5" thickBot="1" x14ac:dyDescent="0.75">
      <c r="B3" s="9" t="s">
        <v>13</v>
      </c>
      <c r="C3" s="9"/>
      <c r="D3" s="9"/>
      <c r="E3" s="9"/>
      <c r="F3" s="9"/>
      <c r="G3" s="9"/>
    </row>
    <row r="4" spans="2:7" ht="15.75" thickTop="1" x14ac:dyDescent="0.25"/>
    <row r="5" spans="2:7" ht="16.5" thickBot="1" x14ac:dyDescent="0.3">
      <c r="B5" s="6" t="s">
        <v>0</v>
      </c>
      <c r="C5" s="7">
        <v>45292</v>
      </c>
      <c r="D5" s="7">
        <v>45323</v>
      </c>
      <c r="E5" s="7">
        <v>45717</v>
      </c>
      <c r="F5" s="6" t="s">
        <v>6</v>
      </c>
      <c r="G5" s="8" t="s">
        <v>7</v>
      </c>
    </row>
    <row r="6" spans="2:7" ht="15.75" thickTop="1" x14ac:dyDescent="0.25">
      <c r="B6" t="s">
        <v>1</v>
      </c>
      <c r="C6" s="2">
        <v>48000</v>
      </c>
      <c r="D6" s="2">
        <v>25000</v>
      </c>
      <c r="E6" s="2">
        <v>35000</v>
      </c>
      <c r="F6" s="2">
        <f t="shared" ref="F6:F12" si="0">SUM(C6:E6)</f>
        <v>108000</v>
      </c>
      <c r="G6" s="4">
        <f t="shared" ref="G6:G12" si="1">F6/$F$12</f>
        <v>0.52735919997656178</v>
      </c>
    </row>
    <row r="7" spans="2:7" x14ac:dyDescent="0.25">
      <c r="B7" t="s">
        <v>2</v>
      </c>
      <c r="C7" s="3">
        <v>1000</v>
      </c>
      <c r="D7" s="3">
        <v>950</v>
      </c>
      <c r="E7" s="3">
        <v>950</v>
      </c>
      <c r="F7" s="3">
        <f t="shared" si="0"/>
        <v>2900</v>
      </c>
      <c r="G7" s="4">
        <f t="shared" si="1"/>
        <v>1.4160571110481752E-2</v>
      </c>
    </row>
    <row r="8" spans="2:7" x14ac:dyDescent="0.25">
      <c r="B8" t="s">
        <v>12</v>
      </c>
      <c r="C8" s="3">
        <v>350</v>
      </c>
      <c r="D8" s="3">
        <v>4324</v>
      </c>
      <c r="E8" s="3">
        <v>120</v>
      </c>
      <c r="F8" s="3">
        <f t="shared" si="0"/>
        <v>4794</v>
      </c>
      <c r="G8" s="4">
        <f t="shared" si="1"/>
        <v>2.340888893229294E-2</v>
      </c>
    </row>
    <row r="9" spans="2:7" x14ac:dyDescent="0.25">
      <c r="B9" t="s">
        <v>3</v>
      </c>
      <c r="C9" s="3">
        <v>1500</v>
      </c>
      <c r="D9" s="3">
        <v>1500</v>
      </c>
      <c r="E9" s="3">
        <v>1400</v>
      </c>
      <c r="F9" s="3">
        <f t="shared" si="0"/>
        <v>4400</v>
      </c>
      <c r="G9" s="4">
        <f t="shared" si="1"/>
        <v>2.1485004443489556E-2</v>
      </c>
    </row>
    <row r="10" spans="2:7" x14ac:dyDescent="0.25">
      <c r="B10" t="s">
        <v>4</v>
      </c>
      <c r="C10" s="3">
        <v>22000</v>
      </c>
      <c r="D10" s="3">
        <v>22000</v>
      </c>
      <c r="E10" s="3">
        <v>24000</v>
      </c>
      <c r="F10" s="3">
        <f t="shared" si="0"/>
        <v>68000</v>
      </c>
      <c r="G10" s="4">
        <f t="shared" si="1"/>
        <v>0.33204097776302038</v>
      </c>
    </row>
    <row r="11" spans="2:7" x14ac:dyDescent="0.25">
      <c r="B11" t="s">
        <v>5</v>
      </c>
      <c r="C11" s="3">
        <v>5500</v>
      </c>
      <c r="D11" s="3">
        <v>5850</v>
      </c>
      <c r="E11" s="3">
        <v>5350</v>
      </c>
      <c r="F11" s="3">
        <f t="shared" si="0"/>
        <v>16700</v>
      </c>
      <c r="G11" s="4">
        <f t="shared" si="1"/>
        <v>8.1545357774153546E-2</v>
      </c>
    </row>
    <row r="12" spans="2:7" x14ac:dyDescent="0.25">
      <c r="B12" t="s">
        <v>6</v>
      </c>
      <c r="C12" s="2">
        <f>SUM(C6:C11)</f>
        <v>78350</v>
      </c>
      <c r="D12" s="2">
        <f t="shared" ref="D12:E12" si="2">SUM(D6:D11)</f>
        <v>59624</v>
      </c>
      <c r="E12" s="2">
        <f t="shared" si="2"/>
        <v>66820</v>
      </c>
      <c r="F12" s="2">
        <f t="shared" si="0"/>
        <v>204794</v>
      </c>
      <c r="G12" s="4">
        <f t="shared" si="1"/>
        <v>1</v>
      </c>
    </row>
    <row r="14" spans="2:7" x14ac:dyDescent="0.25">
      <c r="B14" s="5" t="s">
        <v>8</v>
      </c>
      <c r="C14">
        <f>MIN(C6:C11)</f>
        <v>350</v>
      </c>
      <c r="D14">
        <f>MIN(D6:D11)</f>
        <v>950</v>
      </c>
      <c r="E14">
        <f>MIN(E6:E11)</f>
        <v>120</v>
      </c>
      <c r="F14">
        <f>MIN(F6:F11)</f>
        <v>2900</v>
      </c>
      <c r="G14" s="1"/>
    </row>
    <row r="15" spans="2:7" x14ac:dyDescent="0.25">
      <c r="B15" s="5" t="s">
        <v>9</v>
      </c>
      <c r="C15">
        <f>MAX(C6:C11)</f>
        <v>48000</v>
      </c>
      <c r="D15">
        <f>MAX(D6:D11)</f>
        <v>25000</v>
      </c>
      <c r="E15">
        <f>MAX(E6:E11)</f>
        <v>35000</v>
      </c>
      <c r="F15">
        <f>MAX(F6:F11)</f>
        <v>108000</v>
      </c>
    </row>
    <row r="16" spans="2:7" x14ac:dyDescent="0.25">
      <c r="B16" s="5" t="s">
        <v>10</v>
      </c>
      <c r="C16">
        <f>AVERAGE(C6:C11)</f>
        <v>13058.333333333334</v>
      </c>
      <c r="D16">
        <f>AVERAGE(D6:D11)</f>
        <v>9937.3333333333339</v>
      </c>
      <c r="E16">
        <f>AVERAGE(E6:E11)</f>
        <v>11136.666666666666</v>
      </c>
      <c r="F16">
        <f>AVERAGE(F6:F11)</f>
        <v>34132.333333333336</v>
      </c>
    </row>
    <row r="17" spans="2:6" x14ac:dyDescent="0.25">
      <c r="B17" s="5" t="s">
        <v>11</v>
      </c>
      <c r="C17">
        <f>COUNT(C6:C11)</f>
        <v>6</v>
      </c>
      <c r="D17">
        <f>COUNT(D6:D11)</f>
        <v>6</v>
      </c>
      <c r="E17">
        <f>COUNT(E6:E11)</f>
        <v>6</v>
      </c>
      <c r="F17">
        <f>COUNT(F6:F11)</f>
        <v>6</v>
      </c>
    </row>
  </sheetData>
  <mergeCells count="1">
    <mergeCell ref="B3:G3"/>
  </mergeCells>
  <conditionalFormatting sqref="C6:E11">
    <cfRule type="aboveAverage" dxfId="7" priority="1"/>
  </conditionalFormatting>
  <pageMargins left="0.7" right="0.7" top="0.75" bottom="0.75" header="0.3" footer="0.3"/>
  <pageSetup paperSize="9" fitToWidth="0" orientation="portrait" r:id="rId1"/>
  <ignoredErrors>
    <ignoredError sqref="C14:E17 C12:E12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F6158-2E65-4CED-8DF1-A23D38422DE5}">
  <dimension ref="B18:G32"/>
  <sheetViews>
    <sheetView view="pageLayout" topLeftCell="A10" zoomScaleNormal="85" zoomScaleSheetLayoutView="55" workbookViewId="0">
      <selection activeCell="C21" sqref="C21:E26"/>
    </sheetView>
  </sheetViews>
  <sheetFormatPr defaultRowHeight="15" x14ac:dyDescent="0.25"/>
  <cols>
    <col min="1" max="1" width="5.140625" customWidth="1"/>
    <col min="2" max="2" width="25.42578125" customWidth="1"/>
    <col min="3" max="3" width="13.5703125" bestFit="1" customWidth="1"/>
    <col min="4" max="4" width="14.85546875" bestFit="1" customWidth="1"/>
    <col min="5" max="5" width="13.5703125" bestFit="1" customWidth="1"/>
    <col min="6" max="6" width="13.85546875" customWidth="1"/>
    <col min="7" max="7" width="12.140625" customWidth="1"/>
    <col min="10" max="12" width="14" bestFit="1" customWidth="1"/>
    <col min="13" max="13" width="15.140625" bestFit="1" customWidth="1"/>
    <col min="14" max="14" width="9.28515625" bestFit="1" customWidth="1"/>
  </cols>
  <sheetData>
    <row r="18" spans="2:7" ht="37.5" thickBot="1" x14ac:dyDescent="0.75">
      <c r="B18" s="9" t="s">
        <v>13</v>
      </c>
      <c r="C18" s="9"/>
      <c r="D18" s="9"/>
      <c r="E18" s="9"/>
      <c r="F18" s="9"/>
      <c r="G18" s="9"/>
    </row>
    <row r="19" spans="2:7" ht="15.75" thickTop="1" x14ac:dyDescent="0.25"/>
    <row r="20" spans="2:7" ht="16.5" thickBot="1" x14ac:dyDescent="0.3">
      <c r="B20" s="6" t="s">
        <v>0</v>
      </c>
      <c r="C20" s="7">
        <v>45292</v>
      </c>
      <c r="D20" s="7">
        <v>45323</v>
      </c>
      <c r="E20" s="7">
        <v>45717</v>
      </c>
      <c r="F20" s="6" t="s">
        <v>6</v>
      </c>
      <c r="G20" s="8" t="s">
        <v>7</v>
      </c>
    </row>
    <row r="21" spans="2:7" ht="15.75" thickTop="1" x14ac:dyDescent="0.25">
      <c r="B21" t="s">
        <v>1</v>
      </c>
      <c r="C21" s="2">
        <v>48000</v>
      </c>
      <c r="D21" s="2">
        <v>25000</v>
      </c>
      <c r="E21" s="2">
        <v>35000</v>
      </c>
      <c r="F21" s="2">
        <f t="shared" ref="F21:F27" si="0">SUM(C21:E21)</f>
        <v>108000</v>
      </c>
      <c r="G21" s="4">
        <f t="shared" ref="G21:G27" si="1">F21/$F$27</f>
        <v>0.52735919997656178</v>
      </c>
    </row>
    <row r="22" spans="2:7" x14ac:dyDescent="0.25">
      <c r="B22" t="s">
        <v>2</v>
      </c>
      <c r="C22" s="3">
        <v>1000</v>
      </c>
      <c r="D22" s="3">
        <v>950</v>
      </c>
      <c r="E22" s="3">
        <v>950</v>
      </c>
      <c r="F22" s="3">
        <f t="shared" si="0"/>
        <v>2900</v>
      </c>
      <c r="G22" s="4">
        <f t="shared" si="1"/>
        <v>1.4160571110481752E-2</v>
      </c>
    </row>
    <row r="23" spans="2:7" x14ac:dyDescent="0.25">
      <c r="B23" t="s">
        <v>12</v>
      </c>
      <c r="C23" s="3">
        <v>350</v>
      </c>
      <c r="D23" s="3">
        <v>4324</v>
      </c>
      <c r="E23" s="3">
        <v>120</v>
      </c>
      <c r="F23" s="3">
        <f t="shared" si="0"/>
        <v>4794</v>
      </c>
      <c r="G23" s="4">
        <f t="shared" si="1"/>
        <v>2.340888893229294E-2</v>
      </c>
    </row>
    <row r="24" spans="2:7" x14ac:dyDescent="0.25">
      <c r="B24" t="s">
        <v>3</v>
      </c>
      <c r="C24" s="3">
        <v>1500</v>
      </c>
      <c r="D24" s="3">
        <v>1500</v>
      </c>
      <c r="E24" s="3">
        <v>1400</v>
      </c>
      <c r="F24" s="3">
        <f t="shared" si="0"/>
        <v>4400</v>
      </c>
      <c r="G24" s="4">
        <f t="shared" si="1"/>
        <v>2.1485004443489556E-2</v>
      </c>
    </row>
    <row r="25" spans="2:7" x14ac:dyDescent="0.25">
      <c r="B25" t="s">
        <v>4</v>
      </c>
      <c r="C25" s="3">
        <v>22000</v>
      </c>
      <c r="D25" s="3">
        <v>22000</v>
      </c>
      <c r="E25" s="3">
        <v>24000</v>
      </c>
      <c r="F25" s="3">
        <f t="shared" si="0"/>
        <v>68000</v>
      </c>
      <c r="G25" s="4">
        <f t="shared" si="1"/>
        <v>0.33204097776302038</v>
      </c>
    </row>
    <row r="26" spans="2:7" x14ac:dyDescent="0.25">
      <c r="B26" t="s">
        <v>5</v>
      </c>
      <c r="C26" s="3">
        <v>5500</v>
      </c>
      <c r="D26" s="3">
        <v>5850</v>
      </c>
      <c r="E26" s="3">
        <v>5350</v>
      </c>
      <c r="F26" s="3">
        <f t="shared" si="0"/>
        <v>16700</v>
      </c>
      <c r="G26" s="4">
        <f t="shared" si="1"/>
        <v>8.1545357774153546E-2</v>
      </c>
    </row>
    <row r="27" spans="2:7" x14ac:dyDescent="0.25">
      <c r="B27" t="s">
        <v>6</v>
      </c>
      <c r="C27" s="2">
        <f>SUM(C21:C26)</f>
        <v>78350</v>
      </c>
      <c r="D27" s="2">
        <f t="shared" ref="D27:E27" si="2">SUM(D21:D26)</f>
        <v>59624</v>
      </c>
      <c r="E27" s="2">
        <f t="shared" si="2"/>
        <v>66820</v>
      </c>
      <c r="F27" s="2">
        <f t="shared" si="0"/>
        <v>204794</v>
      </c>
      <c r="G27" s="4">
        <f t="shared" si="1"/>
        <v>1</v>
      </c>
    </row>
    <row r="29" spans="2:7" x14ac:dyDescent="0.25">
      <c r="B29" s="5" t="s">
        <v>8</v>
      </c>
      <c r="C29">
        <f>MIN(C21:C26)</f>
        <v>350</v>
      </c>
      <c r="D29">
        <f>MIN(D21:D26)</f>
        <v>950</v>
      </c>
      <c r="E29">
        <f>MIN(E21:E26)</f>
        <v>120</v>
      </c>
      <c r="F29">
        <f>MIN(F21:F26)</f>
        <v>2900</v>
      </c>
      <c r="G29" s="1"/>
    </row>
    <row r="30" spans="2:7" x14ac:dyDescent="0.25">
      <c r="B30" s="5" t="s">
        <v>9</v>
      </c>
      <c r="C30">
        <f>MAX(C21:C26)</f>
        <v>48000</v>
      </c>
      <c r="D30">
        <f>MAX(D21:D26)</f>
        <v>25000</v>
      </c>
      <c r="E30">
        <f>MAX(E21:E26)</f>
        <v>35000</v>
      </c>
      <c r="F30">
        <f>MAX(F21:F26)</f>
        <v>108000</v>
      </c>
    </row>
    <row r="31" spans="2:7" x14ac:dyDescent="0.25">
      <c r="B31" s="5" t="s">
        <v>10</v>
      </c>
      <c r="C31">
        <f>AVERAGE(C21:C26)</f>
        <v>13058.333333333334</v>
      </c>
      <c r="D31">
        <f>AVERAGE(D21:D26)</f>
        <v>9937.3333333333339</v>
      </c>
      <c r="E31">
        <f>AVERAGE(E21:E26)</f>
        <v>11136.666666666666</v>
      </c>
      <c r="F31">
        <f>AVERAGE(F21:F26)</f>
        <v>34132.333333333336</v>
      </c>
    </row>
    <row r="32" spans="2:7" x14ac:dyDescent="0.25">
      <c r="B32" s="5" t="s">
        <v>11</v>
      </c>
      <c r="C32">
        <f>COUNT(C21:C26)</f>
        <v>6</v>
      </c>
      <c r="D32">
        <f>COUNT(D21:D26)</f>
        <v>6</v>
      </c>
      <c r="E32">
        <f>COUNT(E21:E26)</f>
        <v>6</v>
      </c>
      <c r="F32">
        <f>COUNT(F21:F26)</f>
        <v>6</v>
      </c>
    </row>
  </sheetData>
  <mergeCells count="1">
    <mergeCell ref="B18:G18"/>
  </mergeCells>
  <conditionalFormatting sqref="C21:E26">
    <cfRule type="aboveAverage" dxfId="6" priority="1"/>
  </conditionalFormatting>
  <printOptions horizontalCentered="1"/>
  <pageMargins left="0.19685039370078741" right="0.70866141732283472" top="0.74803149606299213" bottom="0.74803149606299213" header="0.31496062992125984" footer="0.31496062992125984"/>
  <pageSetup paperSize="9" scale="85" orientation="portrait" r:id="rId1"/>
  <headerFooter>
    <oddHeader>&amp;L&amp;D&amp;C2024-2025 Monthly Budget&amp;ROkyanus Aydoğan</oddHeader>
    <oddFooter>&amp;R&amp;P</oddFooter>
  </headerFooter>
  <colBreaks count="1" manualBreakCount="1">
    <brk id="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Credit card log</vt:lpstr>
      <vt:lpstr>Monthly Budget </vt:lpstr>
      <vt:lpstr>Monthly Budget - Print Setting</vt:lpstr>
      <vt:lpstr>Chart Monthly Budget</vt:lpstr>
      <vt:lpstr>ColumnTitle1</vt:lpstr>
      <vt:lpstr>'Credit card log'!Print_Titles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okyanus aydoğan</dc:creator>
  <cp:lastModifiedBy>okyanus aydoğan</cp:lastModifiedBy>
  <cp:lastPrinted>2026-01-10T19:50:17Z</cp:lastPrinted>
  <dcterms:created xsi:type="dcterms:W3CDTF">2026-01-05T21:00:01Z</dcterms:created>
  <dcterms:modified xsi:type="dcterms:W3CDTF">2026-01-12T05:25:26Z</dcterms:modified>
</cp:coreProperties>
</file>