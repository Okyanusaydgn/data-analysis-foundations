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is-foundations\excel\"/>
    </mc:Choice>
  </mc:AlternateContent>
  <xr:revisionPtr revIDLastSave="0" documentId="13_ncr:1_{5B8C6F94-51E1-4533-9B08-5223E1A23CB1}" xr6:coauthVersionLast="47" xr6:coauthVersionMax="47" xr10:uidLastSave="{00000000-0000-0000-0000-000000000000}"/>
  <bookViews>
    <workbookView xWindow="19095" yWindow="0" windowWidth="19410" windowHeight="15585" activeTab="1" xr2:uid="{4EC8B933-5C16-44B8-8BD1-3B03B4E7E629}"/>
  </bookViews>
  <sheets>
    <sheet name="Chart Monthly Budget" sheetId="14" r:id="rId1"/>
    <sheet name="Monthly Budget " sheetId="12" r:id="rId2"/>
    <sheet name="Copy Exerci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2" l="1"/>
  <c r="D17" i="12"/>
  <c r="C17" i="12"/>
  <c r="E16" i="12"/>
  <c r="D16" i="12"/>
  <c r="C16" i="12"/>
  <c r="E15" i="12"/>
  <c r="D15" i="12"/>
  <c r="C15" i="12"/>
  <c r="E14" i="12"/>
  <c r="D14" i="12"/>
  <c r="C14" i="12"/>
  <c r="E12" i="12"/>
  <c r="D12" i="12"/>
  <c r="C12" i="12"/>
  <c r="F11" i="12"/>
  <c r="F10" i="12"/>
  <c r="F9" i="12"/>
  <c r="F8" i="12"/>
  <c r="F7" i="12"/>
  <c r="F6" i="12"/>
  <c r="D15" i="3"/>
  <c r="C15" i="3"/>
  <c r="B15" i="3"/>
  <c r="D14" i="3"/>
  <c r="C14" i="3"/>
  <c r="B14" i="3"/>
  <c r="D13" i="3"/>
  <c r="C13" i="3"/>
  <c r="B13" i="3"/>
  <c r="D12" i="3"/>
  <c r="C12" i="3"/>
  <c r="B12" i="3"/>
  <c r="D10" i="3"/>
  <c r="C10" i="3"/>
  <c r="B10" i="3"/>
  <c r="E10" i="3" s="1"/>
  <c r="F10" i="3" s="1"/>
  <c r="E9" i="3"/>
  <c r="F9" i="3" s="1"/>
  <c r="E8" i="3"/>
  <c r="F8" i="3" s="1"/>
  <c r="E7" i="3"/>
  <c r="F7" i="3" s="1"/>
  <c r="E6" i="3"/>
  <c r="F6" i="3" s="1"/>
  <c r="E5" i="3"/>
  <c r="E4" i="3"/>
  <c r="F12" i="12" l="1"/>
  <c r="F17" i="12"/>
  <c r="F15" i="12"/>
  <c r="F14" i="12"/>
  <c r="F16" i="12"/>
  <c r="E12" i="3"/>
  <c r="E13" i="3"/>
  <c r="F5" i="3"/>
  <c r="E15" i="3"/>
  <c r="E14" i="3"/>
  <c r="F4" i="3"/>
  <c r="G12" i="12" l="1"/>
  <c r="G11" i="12"/>
  <c r="G7" i="12"/>
  <c r="G10" i="12"/>
  <c r="G9" i="12"/>
  <c r="G8" i="12"/>
  <c r="G6" i="12"/>
</calcChain>
</file>

<file path=xl/sharedStrings.xml><?xml version="1.0" encoding="utf-8"?>
<sst xmlns="http://schemas.openxmlformats.org/spreadsheetml/2006/main" count="30" uniqueCount="15">
  <si>
    <t>Montlhy Budget</t>
  </si>
  <si>
    <t>Bills</t>
  </si>
  <si>
    <t>Credit Card</t>
  </si>
  <si>
    <t>Water</t>
  </si>
  <si>
    <t>Electric</t>
  </si>
  <si>
    <t>Market</t>
  </si>
  <si>
    <t>Mom's phone</t>
  </si>
  <si>
    <t>Total</t>
  </si>
  <si>
    <t>Percent</t>
  </si>
  <si>
    <t>MIN</t>
  </si>
  <si>
    <t>MAX</t>
  </si>
  <si>
    <t>AVERAGE</t>
  </si>
  <si>
    <t>COUNT</t>
  </si>
  <si>
    <t>Online Shopping</t>
  </si>
  <si>
    <t>Monthly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</si>
</sst>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09]mmmm\-yy;@"/>
    <numFmt numFmtId="165" formatCode="_-[$€-2]\ * #,##0.00_-;\-[$€-2]\ * #,##0.00_-;_-[$€-2]\ * &quot;-&quot;??_-;_-@_-"/>
    <numFmt numFmtId="166" formatCode="0.0%"/>
  </numFmts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24"/>
      <color theme="0"/>
      <name val="Arial Black"/>
      <family val="2"/>
      <charset val="162"/>
    </font>
    <font>
      <b/>
      <sz val="12"/>
      <color theme="0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5"/>
      </bottom>
      <diagonal/>
    </border>
    <border>
      <left/>
      <right/>
      <top/>
      <bottom style="thick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4" borderId="2" applyNumberFormat="0"/>
  </cellStyleXfs>
  <cellXfs count="12">
    <xf numFmtId="0" fontId="0" fillId="0" borderId="0" xfId="0"/>
    <xf numFmtId="17" fontId="0" fillId="0" borderId="0" xfId="0" applyNumberFormat="1"/>
    <xf numFmtId="164" fontId="0" fillId="0" borderId="0" xfId="0" applyNumberFormat="1"/>
    <xf numFmtId="9" fontId="0" fillId="0" borderId="0" xfId="1" applyFont="1"/>
    <xf numFmtId="165" fontId="0" fillId="0" borderId="0" xfId="0" applyNumberFormat="1"/>
    <xf numFmtId="43" fontId="0" fillId="0" borderId="0" xfId="2" applyFont="1"/>
    <xf numFmtId="166" fontId="0" fillId="0" borderId="0" xfId="1" applyNumberFormat="1" applyFont="1"/>
    <xf numFmtId="0" fontId="2" fillId="3" borderId="0" xfId="0" applyFont="1" applyFill="1" applyAlignment="1">
      <alignment horizontal="right"/>
    </xf>
    <xf numFmtId="0" fontId="4" fillId="4" borderId="2" xfId="3"/>
    <xf numFmtId="164" fontId="4" fillId="4" borderId="2" xfId="3" applyNumberFormat="1"/>
    <xf numFmtId="17" fontId="4" fillId="4" borderId="2" xfId="3" applyNumberFormat="1"/>
    <xf numFmtId="0" fontId="3" fillId="2" borderId="1" xfId="0" applyFont="1" applyFill="1" applyBorder="1" applyAlignment="1">
      <alignment horizontal="center"/>
    </xf>
  </cellXfs>
  <cellStyles count="4">
    <cellStyle name="AwesomeStyle" xfId="3" xr:uid="{65150C0F-7736-4FBF-89DC-FF58D6DB8DAA}"/>
    <cellStyle name="Comma" xfId="2" builtinId="3"/>
    <cellStyle name="Normal" xfId="0" builtinId="0"/>
    <cellStyle name="Per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'Monthly Budget '!$B$3:$G$3</c:f>
          <c:strCache>
            <c:ptCount val="6"/>
            <c:pt idx="0">
              <c:v>Monthly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'Monthly Budget '!$C$5</c:f>
              <c:strCache>
                <c:ptCount val="1"/>
                <c:pt idx="0">
                  <c:v>January-24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'Monthly Budget '!$B$6:$B$11</c:f>
              <c:strCache>
                <c:ptCount val="6"/>
                <c:pt idx="0">
                  <c:v>Credit Card</c:v>
                </c:pt>
                <c:pt idx="1">
                  <c:v>Water</c:v>
                </c:pt>
                <c:pt idx="2">
                  <c:v>Online Shopping</c:v>
                </c:pt>
                <c:pt idx="3">
                  <c:v>Electric</c:v>
                </c:pt>
                <c:pt idx="4">
                  <c:v>Market</c:v>
                </c:pt>
                <c:pt idx="5">
                  <c:v>Mom's phone</c:v>
                </c:pt>
              </c:strCache>
            </c:strRef>
          </c:cat>
          <c:val>
            <c:numRef>
              <c:f>'Monthly Budget '!$C$6:$C$11</c:f>
              <c:numCache>
                <c:formatCode>_(* #,##0.00_);_(* \(#,##0.00\);_(* "-"??_);_(@_)</c:formatCode>
                <c:ptCount val="6"/>
                <c:pt idx="0" formatCode="_-[$€-2]\ * #,##0.00_-;\-[$€-2]\ * #,##0.00_-;_-[$€-2]\ * &quot;-&quot;??_-;_-@_-">
                  <c:v>48000</c:v>
                </c:pt>
                <c:pt idx="1">
                  <c:v>1000</c:v>
                </c:pt>
                <c:pt idx="2">
                  <c:v>350</c:v>
                </c:pt>
                <c:pt idx="3">
                  <c:v>1500</c:v>
                </c:pt>
                <c:pt idx="4">
                  <c:v>22000</c:v>
                </c:pt>
                <c:pt idx="5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B-4B62-9AD4-73F28ED6B6AB}"/>
            </c:ext>
          </c:extLst>
        </c:ser>
        <c:ser>
          <c:idx val="1"/>
          <c:order val="1"/>
          <c:tx>
            <c:strRef>
              <c:f>'Monthly Budget '!$D$5</c:f>
              <c:strCache>
                <c:ptCount val="1"/>
                <c:pt idx="0">
                  <c:v>February-24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'Monthly Budget '!$B$6:$B$11</c:f>
              <c:strCache>
                <c:ptCount val="6"/>
                <c:pt idx="0">
                  <c:v>Credit Card</c:v>
                </c:pt>
                <c:pt idx="1">
                  <c:v>Water</c:v>
                </c:pt>
                <c:pt idx="2">
                  <c:v>Online Shopping</c:v>
                </c:pt>
                <c:pt idx="3">
                  <c:v>Electric</c:v>
                </c:pt>
                <c:pt idx="4">
                  <c:v>Market</c:v>
                </c:pt>
                <c:pt idx="5">
                  <c:v>Mom's phone</c:v>
                </c:pt>
              </c:strCache>
            </c:strRef>
          </c:cat>
          <c:val>
            <c:numRef>
              <c:f>'Monthly Budget '!$D$6:$D$11</c:f>
              <c:numCache>
                <c:formatCode>_(* #,##0.00_);_(* \(#,##0.00\);_(* "-"??_);_(@_)</c:formatCode>
                <c:ptCount val="6"/>
                <c:pt idx="0" formatCode="_-[$€-2]\ * #,##0.00_-;\-[$€-2]\ * #,##0.00_-;_-[$€-2]\ * &quot;-&quot;??_-;_-@_-">
                  <c:v>25000</c:v>
                </c:pt>
                <c:pt idx="1">
                  <c:v>950</c:v>
                </c:pt>
                <c:pt idx="2">
                  <c:v>4324</c:v>
                </c:pt>
                <c:pt idx="3">
                  <c:v>1500</c:v>
                </c:pt>
                <c:pt idx="4">
                  <c:v>22000</c:v>
                </c:pt>
                <c:pt idx="5">
                  <c:v>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B-4B62-9AD4-73F28ED6B6AB}"/>
            </c:ext>
          </c:extLst>
        </c:ser>
        <c:ser>
          <c:idx val="2"/>
          <c:order val="2"/>
          <c:tx>
            <c:strRef>
              <c:f>'Monthly Budget '!$E$5</c:f>
              <c:strCache>
                <c:ptCount val="1"/>
                <c:pt idx="0">
                  <c:v>March-25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'Monthly Budget '!$B$6:$B$11</c:f>
              <c:strCache>
                <c:ptCount val="6"/>
                <c:pt idx="0">
                  <c:v>Credit Card</c:v>
                </c:pt>
                <c:pt idx="1">
                  <c:v>Water</c:v>
                </c:pt>
                <c:pt idx="2">
                  <c:v>Online Shopping</c:v>
                </c:pt>
                <c:pt idx="3">
                  <c:v>Electric</c:v>
                </c:pt>
                <c:pt idx="4">
                  <c:v>Market</c:v>
                </c:pt>
                <c:pt idx="5">
                  <c:v>Mom's phone</c:v>
                </c:pt>
              </c:strCache>
            </c:strRef>
          </c:cat>
          <c:val>
            <c:numRef>
              <c:f>'Monthly Budget '!$E$6:$E$11</c:f>
              <c:numCache>
                <c:formatCode>_(* #,##0.00_);_(* \(#,##0.00\);_(* "-"??_);_(@_)</c:formatCode>
                <c:ptCount val="6"/>
                <c:pt idx="0" formatCode="_-[$€-2]\ * #,##0.00_-;\-[$€-2]\ * #,##0.00_-;_-[$€-2]\ * &quot;-&quot;??_-;_-@_-">
                  <c:v>35000</c:v>
                </c:pt>
                <c:pt idx="1">
                  <c:v>950</c:v>
                </c:pt>
                <c:pt idx="2">
                  <c:v>120</c:v>
                </c:pt>
                <c:pt idx="3">
                  <c:v>1400</c:v>
                </c:pt>
                <c:pt idx="4">
                  <c:v>24000</c:v>
                </c:pt>
                <c:pt idx="5">
                  <c:v>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8B-4B62-9AD4-73F28ED6B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8915424"/>
        <c:axId val="348914944"/>
        <c:axId val="0"/>
      </c:bar3DChart>
      <c:catAx>
        <c:axId val="3489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14944"/>
        <c:crosses val="autoZero"/>
        <c:auto val="1"/>
        <c:lblAlgn val="ctr"/>
        <c:lblOffset val="100"/>
        <c:noMultiLvlLbl val="0"/>
      </c:catAx>
      <c:valAx>
        <c:axId val="34891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91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dkEdge"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'Monthly Budget '!$B$3:$G$3</c:f>
          <c:strCache>
            <c:ptCount val="6"/>
            <c:pt idx="0">
              <c:v>Monthly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 Budget '!$C$5</c:f>
              <c:strCache>
                <c:ptCount val="1"/>
                <c:pt idx="0">
                  <c:v>January-24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FF8-4279-8E19-CBFB577021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FF8-4279-8E19-CBFB577021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4FF8-4279-8E19-CBFB577021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F8-4279-8E19-CBFB577021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FF8-4279-8E19-CBFB577021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FF8-4279-8E19-CBFB577021F1}"/>
              </c:ext>
            </c:extLst>
          </c:dPt>
          <c:dLbls>
            <c:dLbl>
              <c:idx val="0"/>
              <c:layout>
                <c:manualLayout>
                  <c:x val="3.5772872808694768E-2"/>
                  <c:y val="2.1328950355328558E-2"/>
                </c:manualLayout>
              </c:layout>
              <c:spPr>
                <a:noFill/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FF8-4279-8E19-CBFB577021F1}"/>
                </c:ext>
              </c:extLst>
            </c:dLbl>
            <c:dLbl>
              <c:idx val="1"/>
              <c:layout>
                <c:manualLayout>
                  <c:x val="5.7175563466424752E-2"/>
                  <c:y val="3.8854793212954708E-2"/>
                </c:manualLayout>
              </c:layout>
              <c:spPr>
                <a:noFill/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F8-4279-8E19-CBFB577021F1}"/>
                </c:ext>
              </c:extLst>
            </c:dLbl>
            <c:dLbl>
              <c:idx val="2"/>
              <c:layout>
                <c:manualLayout>
                  <c:x val="-5.0203030189897462E-2"/>
                  <c:y val="2.8629847630598167E-2"/>
                </c:manualLayout>
              </c:layout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9F4B49C-04F2-4601-A3C2-81711EE6DA8D}" type="CATEGORYNAME">
                      <a:rPr lang="en-US" sz="900"/>
                      <a:pPr>
                        <a:defRPr sz="900"/>
                      </a:pPr>
                      <a:t>[CATEGORY NAME]</a:t>
                    </a:fld>
                    <a:r>
                      <a:rPr lang="en-US" sz="900" baseline="0"/>
                      <a:t>
</a:t>
                    </a:r>
                    <a:fld id="{E9D08D94-ADB8-49CF-8815-33702038E60E}" type="PERCENTAGE">
                      <a:rPr lang="en-US" sz="900" baseline="0"/>
                      <a:pPr>
                        <a:defRPr sz="900"/>
                      </a:pPr>
                      <a:t>[PERCENTAGE]</a:t>
                    </a:fld>
                    <a:endParaRPr lang="en-US" sz="900" baseline="0"/>
                  </a:p>
                </c:rich>
              </c:tx>
              <c:spPr>
                <a:noFill/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4FF8-4279-8E19-CBFB577021F1}"/>
                </c:ext>
              </c:extLst>
            </c:dLbl>
            <c:dLbl>
              <c:idx val="3"/>
              <c:layout>
                <c:manualLayout>
                  <c:x val="-6.693726378112709E-2"/>
                  <c:y val="-6.9529629960024639E-2"/>
                </c:manualLayout>
              </c:layout>
              <c:tx>
                <c:rich>
                  <a:bodyPr rot="0" spcFirstLastPara="1" vertOverflow="overflow" horzOverflow="overflow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C98C88E-E722-4F5A-92AF-2749FF11E031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E794BE84-85AD-4E40-8CD4-C26E0630E6E1}" type="PERCENTAGE">
                      <a:rPr lang="en-US" sz="800" baseline="0"/>
                      <a:pPr>
                        <a:defRPr/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FF8-4279-8E19-CBFB577021F1}"/>
                </c:ext>
              </c:extLst>
            </c:dLbl>
            <c:dLbl>
              <c:idx val="4"/>
              <c:spPr>
                <a:noFill/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4FF8-4279-8E19-CBFB577021F1}"/>
                </c:ext>
              </c:extLst>
            </c:dLbl>
            <c:dLbl>
              <c:idx val="5"/>
              <c:layout>
                <c:manualLayout>
                  <c:x val="-0.12055934819268992"/>
                  <c:y val="2.4711912218773467E-2"/>
                </c:manualLayout>
              </c:layout>
              <c:spPr>
                <a:noFill/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effectLst/>
              </c:spPr>
              <c:txPr>
                <a:bodyPr rot="0" spcFirstLastPara="1" vertOverflow="overflow" horzOverflow="overflow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385033982062431"/>
                      <c:h val="0.100992579932480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FF8-4279-8E19-CBFB577021F1}"/>
                </c:ext>
              </c:extLst>
            </c:dLbl>
            <c:spPr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Budget '!$B$6:$B$11</c:f>
              <c:strCache>
                <c:ptCount val="6"/>
                <c:pt idx="0">
                  <c:v>Credit Card</c:v>
                </c:pt>
                <c:pt idx="1">
                  <c:v>Water</c:v>
                </c:pt>
                <c:pt idx="2">
                  <c:v>Online Shopping</c:v>
                </c:pt>
                <c:pt idx="3">
                  <c:v>Electric</c:v>
                </c:pt>
                <c:pt idx="4">
                  <c:v>Market</c:v>
                </c:pt>
                <c:pt idx="5">
                  <c:v>Mom's phone</c:v>
                </c:pt>
              </c:strCache>
            </c:strRef>
          </c:cat>
          <c:val>
            <c:numRef>
              <c:f>'Monthly Budget '!$C$6:$C$11</c:f>
              <c:numCache>
                <c:formatCode>_(* #,##0.00_);_(* \(#,##0.00\);_(* "-"??_);_(@_)</c:formatCode>
                <c:ptCount val="6"/>
                <c:pt idx="0" formatCode="_-[$€-2]\ * #,##0.00_-;\-[$€-2]\ * #,##0.00_-;_-[$€-2]\ * &quot;-&quot;??_-;_-@_-">
                  <c:v>48000</c:v>
                </c:pt>
                <c:pt idx="1">
                  <c:v>1000</c:v>
                </c:pt>
                <c:pt idx="2">
                  <c:v>350</c:v>
                </c:pt>
                <c:pt idx="3">
                  <c:v>1500</c:v>
                </c:pt>
                <c:pt idx="4">
                  <c:v>22000</c:v>
                </c:pt>
                <c:pt idx="5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F8-4279-8E19-CBFB577021F1}"/>
            </c:ext>
          </c:extLst>
        </c:ser>
        <c:ser>
          <c:idx val="1"/>
          <c:order val="1"/>
          <c:tx>
            <c:strRef>
              <c:f>'Monthly Budget '!$D$5</c:f>
              <c:strCache>
                <c:ptCount val="1"/>
                <c:pt idx="0">
                  <c:v>February-24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FF8-4279-8E19-CBFB577021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FF8-4279-8E19-CBFB577021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4FF8-4279-8E19-CBFB577021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FF8-4279-8E19-CBFB577021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4FF8-4279-8E19-CBFB577021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FF8-4279-8E19-CBFB577021F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4FF8-4279-8E19-CBFB577021F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4FF8-4279-8E19-CBFB577021F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4FF8-4279-8E19-CBFB577021F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4FF8-4279-8E19-CBFB577021F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4FF8-4279-8E19-CBFB577021F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4FF8-4279-8E19-CBFB577021F1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Budget '!$B$6:$B$11</c:f>
              <c:strCache>
                <c:ptCount val="6"/>
                <c:pt idx="0">
                  <c:v>Credit Card</c:v>
                </c:pt>
                <c:pt idx="1">
                  <c:v>Water</c:v>
                </c:pt>
                <c:pt idx="2">
                  <c:v>Online Shopping</c:v>
                </c:pt>
                <c:pt idx="3">
                  <c:v>Electric</c:v>
                </c:pt>
                <c:pt idx="4">
                  <c:v>Market</c:v>
                </c:pt>
                <c:pt idx="5">
                  <c:v>Mom's phone</c:v>
                </c:pt>
              </c:strCache>
            </c:strRef>
          </c:cat>
          <c:val>
            <c:numRef>
              <c:f>'Monthly Budget '!$D$6:$D$11</c:f>
              <c:numCache>
                <c:formatCode>_(* #,##0.00_);_(* \(#,##0.00\);_(* "-"??_);_(@_)</c:formatCode>
                <c:ptCount val="6"/>
                <c:pt idx="0" formatCode="_-[$€-2]\ * #,##0.00_-;\-[$€-2]\ * #,##0.00_-;_-[$€-2]\ * &quot;-&quot;??_-;_-@_-">
                  <c:v>25000</c:v>
                </c:pt>
                <c:pt idx="1">
                  <c:v>950</c:v>
                </c:pt>
                <c:pt idx="2">
                  <c:v>4324</c:v>
                </c:pt>
                <c:pt idx="3">
                  <c:v>1500</c:v>
                </c:pt>
                <c:pt idx="4">
                  <c:v>22000</c:v>
                </c:pt>
                <c:pt idx="5">
                  <c:v>5850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F8-4279-8E19-CBFB577021F1}"/>
            </c:ext>
          </c:extLst>
        </c:ser>
        <c:ser>
          <c:idx val="2"/>
          <c:order val="2"/>
          <c:tx>
            <c:strRef>
              <c:f>'Monthly Budget '!$E$5</c:f>
              <c:strCache>
                <c:ptCount val="1"/>
                <c:pt idx="0">
                  <c:v>March-25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4FF8-4279-8E19-CBFB577021F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4FF8-4279-8E19-CBFB577021F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FF8-4279-8E19-CBFB577021F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4FF8-4279-8E19-CBFB577021F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FF8-4279-8E19-CBFB577021F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4FF8-4279-8E19-CBFB577021F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4FF8-4279-8E19-CBFB577021F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4FF8-4279-8E19-CBFB577021F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4FF8-4279-8E19-CBFB577021F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4FF8-4279-8E19-CBFB577021F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4FF8-4279-8E19-CBFB577021F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4FF8-4279-8E19-CBFB577021F1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Budget '!$B$6:$B$11</c:f>
              <c:strCache>
                <c:ptCount val="6"/>
                <c:pt idx="0">
                  <c:v>Credit Card</c:v>
                </c:pt>
                <c:pt idx="1">
                  <c:v>Water</c:v>
                </c:pt>
                <c:pt idx="2">
                  <c:v>Online Shopping</c:v>
                </c:pt>
                <c:pt idx="3">
                  <c:v>Electric</c:v>
                </c:pt>
                <c:pt idx="4">
                  <c:v>Market</c:v>
                </c:pt>
                <c:pt idx="5">
                  <c:v>Mom's phone</c:v>
                </c:pt>
              </c:strCache>
            </c:strRef>
          </c:cat>
          <c:val>
            <c:numRef>
              <c:f>'Monthly Budget '!$E$6:$E$11</c:f>
              <c:numCache>
                <c:formatCode>_(* #,##0.00_);_(* \(#,##0.00\);_(* "-"??_);_(@_)</c:formatCode>
                <c:ptCount val="6"/>
                <c:pt idx="0" formatCode="_-[$€-2]\ * #,##0.00_-;\-[$€-2]\ * #,##0.00_-;_-[$€-2]\ * &quot;-&quot;??_-;_-@_-">
                  <c:v>35000</c:v>
                </c:pt>
                <c:pt idx="1">
                  <c:v>950</c:v>
                </c:pt>
                <c:pt idx="2">
                  <c:v>120</c:v>
                </c:pt>
                <c:pt idx="3">
                  <c:v>1400</c:v>
                </c:pt>
                <c:pt idx="4">
                  <c:v>24000</c:v>
                </c:pt>
                <c:pt idx="5">
                  <c:v>5350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F8-4279-8E19-CBFB577021F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FB9937-001D-44FF-8301-04919C57E8E3}">
  <sheetPr/>
  <sheetViews>
    <sheetView zoomScale="117" workbookViewId="0" zoomToFit="1"/>
  </sheetViews>
  <pageMargins left="0.7" right="0.7" top="0.75" bottom="0.75" header="0.3" footer="0.3"/>
  <drawing r:id="rId1"/>
</chartsheet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173FF9D-5323-4896-AE26-32E51B137E13}" type="doc">
      <dgm:prSet loTypeId="urn:microsoft.com/office/officeart/2005/8/layout/hProcess9" loCatId="process" qsTypeId="urn:microsoft.com/office/officeart/2005/8/quickstyle/3d1" qsCatId="3D" csTypeId="urn:microsoft.com/office/officeart/2005/8/colors/colorful3" csCatId="colorful" phldr="1"/>
      <dgm:spPr/>
    </dgm:pt>
    <dgm:pt modelId="{C6FE03DD-B8B2-4F7B-89FE-F1F9B8B58041}">
      <dgm:prSet phldrT="[Text]"/>
      <dgm:spPr/>
      <dgm:t>
        <a:bodyPr/>
        <a:lstStyle/>
        <a:p>
          <a:r>
            <a:rPr lang="tr-TR"/>
            <a:t>Collect Income</a:t>
          </a:r>
          <a:endParaRPr lang="en-US"/>
        </a:p>
      </dgm:t>
    </dgm:pt>
    <dgm:pt modelId="{79F28220-F672-4D9D-AD17-CBD58F83FB92}" type="parTrans" cxnId="{3379642D-9330-4843-8B62-BAB065BCC2A9}">
      <dgm:prSet/>
      <dgm:spPr/>
      <dgm:t>
        <a:bodyPr/>
        <a:lstStyle/>
        <a:p>
          <a:endParaRPr lang="en-US"/>
        </a:p>
      </dgm:t>
    </dgm:pt>
    <dgm:pt modelId="{2EAE0C7E-F241-4C4F-9476-FBA049F348BC}" type="sibTrans" cxnId="{3379642D-9330-4843-8B62-BAB065BCC2A9}">
      <dgm:prSet/>
      <dgm:spPr/>
      <dgm:t>
        <a:bodyPr/>
        <a:lstStyle/>
        <a:p>
          <a:endParaRPr lang="en-US"/>
        </a:p>
      </dgm:t>
    </dgm:pt>
    <dgm:pt modelId="{53E78692-A387-468C-8AF6-75B55150F00E}">
      <dgm:prSet phldrT="[Text]"/>
      <dgm:spPr/>
      <dgm:t>
        <a:bodyPr/>
        <a:lstStyle/>
        <a:p>
          <a:r>
            <a:rPr lang="tr-TR"/>
            <a:t>Plan Spending</a:t>
          </a:r>
          <a:endParaRPr lang="en-US"/>
        </a:p>
      </dgm:t>
    </dgm:pt>
    <dgm:pt modelId="{9F0F3447-27B3-4C4C-AA74-EA130DA7EC0B}" type="parTrans" cxnId="{E26F05AA-26AE-471A-9CC0-29D2D56D36DE}">
      <dgm:prSet/>
      <dgm:spPr/>
      <dgm:t>
        <a:bodyPr/>
        <a:lstStyle/>
        <a:p>
          <a:endParaRPr lang="en-US"/>
        </a:p>
      </dgm:t>
    </dgm:pt>
    <dgm:pt modelId="{D57B18F6-82BC-40EF-8D8C-00C62A7BCD2D}" type="sibTrans" cxnId="{E26F05AA-26AE-471A-9CC0-29D2D56D36DE}">
      <dgm:prSet/>
      <dgm:spPr/>
      <dgm:t>
        <a:bodyPr/>
        <a:lstStyle/>
        <a:p>
          <a:endParaRPr lang="en-US"/>
        </a:p>
      </dgm:t>
    </dgm:pt>
    <dgm:pt modelId="{6C6F4E1C-A4CD-4408-B8D8-57C0B50E4216}">
      <dgm:prSet phldrT="[Text]"/>
      <dgm:spPr/>
      <dgm:t>
        <a:bodyPr/>
        <a:lstStyle/>
        <a:p>
          <a:r>
            <a:rPr lang="tr-TR"/>
            <a:t>Review &amp; Adjust</a:t>
          </a:r>
          <a:endParaRPr lang="en-US"/>
        </a:p>
      </dgm:t>
    </dgm:pt>
    <dgm:pt modelId="{EBA17695-3225-49CC-8947-0CB7785E85CB}" type="parTrans" cxnId="{FC52EEF0-846C-468A-A94A-76BAD9428B99}">
      <dgm:prSet/>
      <dgm:spPr/>
      <dgm:t>
        <a:bodyPr/>
        <a:lstStyle/>
        <a:p>
          <a:endParaRPr lang="en-US"/>
        </a:p>
      </dgm:t>
    </dgm:pt>
    <dgm:pt modelId="{FF261061-0F82-442A-A9EC-FE73D061F632}" type="sibTrans" cxnId="{FC52EEF0-846C-468A-A94A-76BAD9428B99}">
      <dgm:prSet/>
      <dgm:spPr/>
      <dgm:t>
        <a:bodyPr/>
        <a:lstStyle/>
        <a:p>
          <a:endParaRPr lang="en-US"/>
        </a:p>
      </dgm:t>
    </dgm:pt>
    <dgm:pt modelId="{19E38DFE-C139-4E01-9EE7-C3B28CEB3E88}">
      <dgm:prSet phldrT="[Text]"/>
      <dgm:spPr/>
      <dgm:t>
        <a:bodyPr/>
        <a:lstStyle/>
        <a:p>
          <a:r>
            <a:rPr lang="tr-TR"/>
            <a:t>Salary/ side income</a:t>
          </a:r>
          <a:endParaRPr lang="en-US"/>
        </a:p>
      </dgm:t>
    </dgm:pt>
    <dgm:pt modelId="{EA687DB3-8E22-4F77-9A97-1A1546A64BC2}" type="parTrans" cxnId="{12C018F5-114A-4E68-B78D-1B737E211AE1}">
      <dgm:prSet/>
      <dgm:spPr/>
      <dgm:t>
        <a:bodyPr/>
        <a:lstStyle/>
        <a:p>
          <a:endParaRPr lang="en-US"/>
        </a:p>
      </dgm:t>
    </dgm:pt>
    <dgm:pt modelId="{E0E8B215-35DE-4FA1-90B3-CDDFFBFE8F4D}" type="sibTrans" cxnId="{12C018F5-114A-4E68-B78D-1B737E211AE1}">
      <dgm:prSet/>
      <dgm:spPr/>
      <dgm:t>
        <a:bodyPr/>
        <a:lstStyle/>
        <a:p>
          <a:endParaRPr lang="en-US"/>
        </a:p>
      </dgm:t>
    </dgm:pt>
    <dgm:pt modelId="{59DAE2AE-AC20-47F1-805F-EEF348E22EA2}">
      <dgm:prSet phldrT="[Text]"/>
      <dgm:spPr/>
      <dgm:t>
        <a:bodyPr/>
        <a:lstStyle/>
        <a:p>
          <a:r>
            <a:rPr lang="tr-TR"/>
            <a:t>Set a target amount</a:t>
          </a:r>
          <a:endParaRPr lang="en-US"/>
        </a:p>
      </dgm:t>
    </dgm:pt>
    <dgm:pt modelId="{DFD42484-475D-4BE6-8534-89DFFD57BEEB}" type="parTrans" cxnId="{DAD890F8-E55E-4BC3-9AC9-DEB7B39005A5}">
      <dgm:prSet/>
      <dgm:spPr/>
      <dgm:t>
        <a:bodyPr/>
        <a:lstStyle/>
        <a:p>
          <a:endParaRPr lang="en-US"/>
        </a:p>
      </dgm:t>
    </dgm:pt>
    <dgm:pt modelId="{06305694-21EB-4753-ACDF-E16CF197158D}" type="sibTrans" cxnId="{DAD890F8-E55E-4BC3-9AC9-DEB7B39005A5}">
      <dgm:prSet/>
      <dgm:spPr/>
      <dgm:t>
        <a:bodyPr/>
        <a:lstStyle/>
        <a:p>
          <a:endParaRPr lang="en-US"/>
        </a:p>
      </dgm:t>
    </dgm:pt>
    <dgm:pt modelId="{F6A4E565-2BEF-4FEF-8F21-4D0A2426660F}">
      <dgm:prSet phldrT="[Text]"/>
      <dgm:spPr/>
      <dgm:t>
        <a:bodyPr/>
        <a:lstStyle/>
        <a:p>
          <a:r>
            <a:rPr lang="tr-TR"/>
            <a:t>Bills</a:t>
          </a:r>
          <a:endParaRPr lang="en-US"/>
        </a:p>
      </dgm:t>
    </dgm:pt>
    <dgm:pt modelId="{EEF08427-D08B-4016-925A-483374305C7D}" type="parTrans" cxnId="{B001651A-5A3E-42AC-910C-80A53BF70F46}">
      <dgm:prSet/>
      <dgm:spPr/>
      <dgm:t>
        <a:bodyPr/>
        <a:lstStyle/>
        <a:p>
          <a:endParaRPr lang="en-US"/>
        </a:p>
      </dgm:t>
    </dgm:pt>
    <dgm:pt modelId="{CA9116EA-3533-4C50-BBEF-D40280B1346C}" type="sibTrans" cxnId="{B001651A-5A3E-42AC-910C-80A53BF70F46}">
      <dgm:prSet/>
      <dgm:spPr/>
      <dgm:t>
        <a:bodyPr/>
        <a:lstStyle/>
        <a:p>
          <a:endParaRPr lang="en-US"/>
        </a:p>
      </dgm:t>
    </dgm:pt>
    <dgm:pt modelId="{8EC8719F-8C9B-476B-98F8-1AE44BA86555}">
      <dgm:prSet phldrT="[Text]"/>
      <dgm:spPr/>
      <dgm:t>
        <a:bodyPr/>
        <a:lstStyle/>
        <a:p>
          <a:r>
            <a:rPr lang="tr-TR"/>
            <a:t>Daily needs</a:t>
          </a:r>
          <a:endParaRPr lang="en-US"/>
        </a:p>
      </dgm:t>
    </dgm:pt>
    <dgm:pt modelId="{E3284D04-025D-430E-BD60-98E31885BEF1}" type="parTrans" cxnId="{A5053DD7-5152-41E4-B141-B19AD435AC73}">
      <dgm:prSet/>
      <dgm:spPr/>
      <dgm:t>
        <a:bodyPr/>
        <a:lstStyle/>
        <a:p>
          <a:endParaRPr lang="en-US"/>
        </a:p>
      </dgm:t>
    </dgm:pt>
    <dgm:pt modelId="{8AD8E199-EB19-4160-A91D-0BD2D9A2633B}" type="sibTrans" cxnId="{A5053DD7-5152-41E4-B141-B19AD435AC73}">
      <dgm:prSet/>
      <dgm:spPr/>
      <dgm:t>
        <a:bodyPr/>
        <a:lstStyle/>
        <a:p>
          <a:endParaRPr lang="en-US"/>
        </a:p>
      </dgm:t>
    </dgm:pt>
    <dgm:pt modelId="{580A13C2-31D2-47D4-9E1E-FF92456CA4FE}">
      <dgm:prSet phldrT="[Text]"/>
      <dgm:spPr/>
      <dgm:t>
        <a:bodyPr/>
        <a:lstStyle/>
        <a:p>
          <a:r>
            <a:rPr lang="tr-TR"/>
            <a:t>Money left</a:t>
          </a:r>
          <a:endParaRPr lang="en-US"/>
        </a:p>
      </dgm:t>
    </dgm:pt>
    <dgm:pt modelId="{C73DFC92-F16E-4909-A30E-C387FC5C515B}" type="parTrans" cxnId="{E19A0000-0D76-4460-9B57-0A2D44726F32}">
      <dgm:prSet/>
      <dgm:spPr/>
      <dgm:t>
        <a:bodyPr/>
        <a:lstStyle/>
        <a:p>
          <a:endParaRPr lang="en-US"/>
        </a:p>
      </dgm:t>
    </dgm:pt>
    <dgm:pt modelId="{5C492D1F-F1CE-43B2-94DA-87E4583C3564}" type="sibTrans" cxnId="{E19A0000-0D76-4460-9B57-0A2D44726F32}">
      <dgm:prSet/>
      <dgm:spPr/>
      <dgm:t>
        <a:bodyPr/>
        <a:lstStyle/>
        <a:p>
          <a:endParaRPr lang="en-US"/>
        </a:p>
      </dgm:t>
    </dgm:pt>
    <dgm:pt modelId="{6648B837-72B9-4317-BD95-466BDDC70F21}">
      <dgm:prSet phldrT="[Text]"/>
      <dgm:spPr/>
      <dgm:t>
        <a:bodyPr/>
        <a:lstStyle/>
        <a:p>
          <a:r>
            <a:rPr lang="tr-TR"/>
            <a:t>Cut unnecessary spending</a:t>
          </a:r>
          <a:endParaRPr lang="en-US"/>
        </a:p>
      </dgm:t>
    </dgm:pt>
    <dgm:pt modelId="{FA833BC1-82EC-4E3D-A77D-7DCD7812FB7C}" type="parTrans" cxnId="{FB1D8B5B-67B5-4D6F-AB4C-FB66E128AA95}">
      <dgm:prSet/>
      <dgm:spPr/>
      <dgm:t>
        <a:bodyPr/>
        <a:lstStyle/>
        <a:p>
          <a:endParaRPr lang="en-US"/>
        </a:p>
      </dgm:t>
    </dgm:pt>
    <dgm:pt modelId="{59F8B0EF-4295-47FC-B0C7-63F53021D59A}" type="sibTrans" cxnId="{FB1D8B5B-67B5-4D6F-AB4C-FB66E128AA95}">
      <dgm:prSet/>
      <dgm:spPr/>
      <dgm:t>
        <a:bodyPr/>
        <a:lstStyle/>
        <a:p>
          <a:endParaRPr lang="en-US"/>
        </a:p>
      </dgm:t>
    </dgm:pt>
    <dgm:pt modelId="{D4BF4E1A-1A3F-4580-8BFD-70414F3F5DFE}" type="pres">
      <dgm:prSet presAssocID="{4173FF9D-5323-4896-AE26-32E51B137E13}" presName="CompostProcess" presStyleCnt="0">
        <dgm:presLayoutVars>
          <dgm:dir/>
          <dgm:resizeHandles val="exact"/>
        </dgm:presLayoutVars>
      </dgm:prSet>
      <dgm:spPr/>
    </dgm:pt>
    <dgm:pt modelId="{5E75CDF1-1425-4425-B947-36B2AD341E94}" type="pres">
      <dgm:prSet presAssocID="{4173FF9D-5323-4896-AE26-32E51B137E13}" presName="arrow" presStyleLbl="bgShp" presStyleIdx="0" presStyleCnt="1"/>
      <dgm:spPr/>
    </dgm:pt>
    <dgm:pt modelId="{3CAEE456-2A9E-43BA-AA91-5C443A8B5630}" type="pres">
      <dgm:prSet presAssocID="{4173FF9D-5323-4896-AE26-32E51B137E13}" presName="linearProcess" presStyleCnt="0"/>
      <dgm:spPr/>
    </dgm:pt>
    <dgm:pt modelId="{757AE223-1256-4756-98B5-071C900A0DA8}" type="pres">
      <dgm:prSet presAssocID="{C6FE03DD-B8B2-4F7B-89FE-F1F9B8B58041}" presName="textNode" presStyleLbl="node1" presStyleIdx="0" presStyleCnt="3">
        <dgm:presLayoutVars>
          <dgm:bulletEnabled val="1"/>
        </dgm:presLayoutVars>
      </dgm:prSet>
      <dgm:spPr/>
    </dgm:pt>
    <dgm:pt modelId="{04CA75D5-A336-433B-94D3-D55701430297}" type="pres">
      <dgm:prSet presAssocID="{2EAE0C7E-F241-4C4F-9476-FBA049F348BC}" presName="sibTrans" presStyleCnt="0"/>
      <dgm:spPr/>
    </dgm:pt>
    <dgm:pt modelId="{4AF387EC-071A-495C-B3C8-8FD928F3F851}" type="pres">
      <dgm:prSet presAssocID="{53E78692-A387-468C-8AF6-75B55150F00E}" presName="textNode" presStyleLbl="node1" presStyleIdx="1" presStyleCnt="3">
        <dgm:presLayoutVars>
          <dgm:bulletEnabled val="1"/>
        </dgm:presLayoutVars>
      </dgm:prSet>
      <dgm:spPr/>
    </dgm:pt>
    <dgm:pt modelId="{3BF14AD8-4E61-410E-BD98-650BE33B76F0}" type="pres">
      <dgm:prSet presAssocID="{D57B18F6-82BC-40EF-8D8C-00C62A7BCD2D}" presName="sibTrans" presStyleCnt="0"/>
      <dgm:spPr/>
    </dgm:pt>
    <dgm:pt modelId="{DE0BD434-849F-4135-AAA4-AFA4E216BFC6}" type="pres">
      <dgm:prSet presAssocID="{6C6F4E1C-A4CD-4408-B8D8-57C0B50E4216}" presName="textNode" presStyleLbl="node1" presStyleIdx="2" presStyleCnt="3">
        <dgm:presLayoutVars>
          <dgm:bulletEnabled val="1"/>
        </dgm:presLayoutVars>
      </dgm:prSet>
      <dgm:spPr/>
    </dgm:pt>
  </dgm:ptLst>
  <dgm:cxnLst>
    <dgm:cxn modelId="{E19A0000-0D76-4460-9B57-0A2D44726F32}" srcId="{6C6F4E1C-A4CD-4408-B8D8-57C0B50E4216}" destId="{580A13C2-31D2-47D4-9E1E-FF92456CA4FE}" srcOrd="0" destOrd="0" parTransId="{C73DFC92-F16E-4909-A30E-C387FC5C515B}" sibTransId="{5C492D1F-F1CE-43B2-94DA-87E4583C3564}"/>
    <dgm:cxn modelId="{451D7B01-03A5-4117-AC66-B72857573BD5}" type="presOf" srcId="{C6FE03DD-B8B2-4F7B-89FE-F1F9B8B58041}" destId="{757AE223-1256-4756-98B5-071C900A0DA8}" srcOrd="0" destOrd="0" presId="urn:microsoft.com/office/officeart/2005/8/layout/hProcess9"/>
    <dgm:cxn modelId="{514B7D0F-6EE3-42A2-A262-B25E769BD2EA}" type="presOf" srcId="{19E38DFE-C139-4E01-9EE7-C3B28CEB3E88}" destId="{757AE223-1256-4756-98B5-071C900A0DA8}" srcOrd="0" destOrd="1" presId="urn:microsoft.com/office/officeart/2005/8/layout/hProcess9"/>
    <dgm:cxn modelId="{B001651A-5A3E-42AC-910C-80A53BF70F46}" srcId="{53E78692-A387-468C-8AF6-75B55150F00E}" destId="{F6A4E565-2BEF-4FEF-8F21-4D0A2426660F}" srcOrd="0" destOrd="0" parTransId="{EEF08427-D08B-4016-925A-483374305C7D}" sibTransId="{CA9116EA-3533-4C50-BBEF-D40280B1346C}"/>
    <dgm:cxn modelId="{3379642D-9330-4843-8B62-BAB065BCC2A9}" srcId="{4173FF9D-5323-4896-AE26-32E51B137E13}" destId="{C6FE03DD-B8B2-4F7B-89FE-F1F9B8B58041}" srcOrd="0" destOrd="0" parTransId="{79F28220-F672-4D9D-AD17-CBD58F83FB92}" sibTransId="{2EAE0C7E-F241-4C4F-9476-FBA049F348BC}"/>
    <dgm:cxn modelId="{FB1D8B5B-67B5-4D6F-AB4C-FB66E128AA95}" srcId="{6C6F4E1C-A4CD-4408-B8D8-57C0B50E4216}" destId="{6648B837-72B9-4317-BD95-466BDDC70F21}" srcOrd="1" destOrd="0" parTransId="{FA833BC1-82EC-4E3D-A77D-7DCD7812FB7C}" sibTransId="{59F8B0EF-4295-47FC-B0C7-63F53021D59A}"/>
    <dgm:cxn modelId="{6F9F5E45-D8E3-4F21-8E28-859B8764B1B4}" type="presOf" srcId="{580A13C2-31D2-47D4-9E1E-FF92456CA4FE}" destId="{DE0BD434-849F-4135-AAA4-AFA4E216BFC6}" srcOrd="0" destOrd="1" presId="urn:microsoft.com/office/officeart/2005/8/layout/hProcess9"/>
    <dgm:cxn modelId="{D266504A-F278-4177-B7D1-2FF54F0B7B9E}" type="presOf" srcId="{6C6F4E1C-A4CD-4408-B8D8-57C0B50E4216}" destId="{DE0BD434-849F-4135-AAA4-AFA4E216BFC6}" srcOrd="0" destOrd="0" presId="urn:microsoft.com/office/officeart/2005/8/layout/hProcess9"/>
    <dgm:cxn modelId="{B94ED89A-27F3-41AD-840F-660FEABD68ED}" type="presOf" srcId="{59DAE2AE-AC20-47F1-805F-EEF348E22EA2}" destId="{757AE223-1256-4756-98B5-071C900A0DA8}" srcOrd="0" destOrd="2" presId="urn:microsoft.com/office/officeart/2005/8/layout/hProcess9"/>
    <dgm:cxn modelId="{E26F05AA-26AE-471A-9CC0-29D2D56D36DE}" srcId="{4173FF9D-5323-4896-AE26-32E51B137E13}" destId="{53E78692-A387-468C-8AF6-75B55150F00E}" srcOrd="1" destOrd="0" parTransId="{9F0F3447-27B3-4C4C-AA74-EA130DA7EC0B}" sibTransId="{D57B18F6-82BC-40EF-8D8C-00C62A7BCD2D}"/>
    <dgm:cxn modelId="{A9ECFBB6-444D-4DF2-B96F-A0399084DB52}" type="presOf" srcId="{53E78692-A387-468C-8AF6-75B55150F00E}" destId="{4AF387EC-071A-495C-B3C8-8FD928F3F851}" srcOrd="0" destOrd="0" presId="urn:microsoft.com/office/officeart/2005/8/layout/hProcess9"/>
    <dgm:cxn modelId="{A9C2CBC4-D4AD-4390-A2E1-9BBA3EA593B8}" type="presOf" srcId="{8EC8719F-8C9B-476B-98F8-1AE44BA86555}" destId="{4AF387EC-071A-495C-B3C8-8FD928F3F851}" srcOrd="0" destOrd="2" presId="urn:microsoft.com/office/officeart/2005/8/layout/hProcess9"/>
    <dgm:cxn modelId="{A5053DD7-5152-41E4-B141-B19AD435AC73}" srcId="{53E78692-A387-468C-8AF6-75B55150F00E}" destId="{8EC8719F-8C9B-476B-98F8-1AE44BA86555}" srcOrd="1" destOrd="0" parTransId="{E3284D04-025D-430E-BD60-98E31885BEF1}" sibTransId="{8AD8E199-EB19-4160-A91D-0BD2D9A2633B}"/>
    <dgm:cxn modelId="{347036E4-D246-42E6-9B42-82AB6CC0AB6E}" type="presOf" srcId="{F6A4E565-2BEF-4FEF-8F21-4D0A2426660F}" destId="{4AF387EC-071A-495C-B3C8-8FD928F3F851}" srcOrd="0" destOrd="1" presId="urn:microsoft.com/office/officeart/2005/8/layout/hProcess9"/>
    <dgm:cxn modelId="{E2F98EEB-E8C5-4F80-A8FF-778AF382F9BD}" type="presOf" srcId="{4173FF9D-5323-4896-AE26-32E51B137E13}" destId="{D4BF4E1A-1A3F-4580-8BFD-70414F3F5DFE}" srcOrd="0" destOrd="0" presId="urn:microsoft.com/office/officeart/2005/8/layout/hProcess9"/>
    <dgm:cxn modelId="{35A80DEC-41F1-4DF1-A7B3-97D773FB82D2}" type="presOf" srcId="{6648B837-72B9-4317-BD95-466BDDC70F21}" destId="{DE0BD434-849F-4135-AAA4-AFA4E216BFC6}" srcOrd="0" destOrd="2" presId="urn:microsoft.com/office/officeart/2005/8/layout/hProcess9"/>
    <dgm:cxn modelId="{FC52EEF0-846C-468A-A94A-76BAD9428B99}" srcId="{4173FF9D-5323-4896-AE26-32E51B137E13}" destId="{6C6F4E1C-A4CD-4408-B8D8-57C0B50E4216}" srcOrd="2" destOrd="0" parTransId="{EBA17695-3225-49CC-8947-0CB7785E85CB}" sibTransId="{FF261061-0F82-442A-A9EC-FE73D061F632}"/>
    <dgm:cxn modelId="{12C018F5-114A-4E68-B78D-1B737E211AE1}" srcId="{C6FE03DD-B8B2-4F7B-89FE-F1F9B8B58041}" destId="{19E38DFE-C139-4E01-9EE7-C3B28CEB3E88}" srcOrd="0" destOrd="0" parTransId="{EA687DB3-8E22-4F77-9A97-1A1546A64BC2}" sibTransId="{E0E8B215-35DE-4FA1-90B3-CDDFFBFE8F4D}"/>
    <dgm:cxn modelId="{DAD890F8-E55E-4BC3-9AC9-DEB7B39005A5}" srcId="{C6FE03DD-B8B2-4F7B-89FE-F1F9B8B58041}" destId="{59DAE2AE-AC20-47F1-805F-EEF348E22EA2}" srcOrd="1" destOrd="0" parTransId="{DFD42484-475D-4BE6-8534-89DFFD57BEEB}" sibTransId="{06305694-21EB-4753-ACDF-E16CF197158D}"/>
    <dgm:cxn modelId="{9DCCC64E-9736-48E0-B79B-4F9E3FA013B5}" type="presParOf" srcId="{D4BF4E1A-1A3F-4580-8BFD-70414F3F5DFE}" destId="{5E75CDF1-1425-4425-B947-36B2AD341E94}" srcOrd="0" destOrd="0" presId="urn:microsoft.com/office/officeart/2005/8/layout/hProcess9"/>
    <dgm:cxn modelId="{C423E5C7-5E19-4CB6-A2F8-7B9DFC29CB3E}" type="presParOf" srcId="{D4BF4E1A-1A3F-4580-8BFD-70414F3F5DFE}" destId="{3CAEE456-2A9E-43BA-AA91-5C443A8B5630}" srcOrd="1" destOrd="0" presId="urn:microsoft.com/office/officeart/2005/8/layout/hProcess9"/>
    <dgm:cxn modelId="{BFF2E25A-38A2-4206-AB33-36E5978A7898}" type="presParOf" srcId="{3CAEE456-2A9E-43BA-AA91-5C443A8B5630}" destId="{757AE223-1256-4756-98B5-071C900A0DA8}" srcOrd="0" destOrd="0" presId="urn:microsoft.com/office/officeart/2005/8/layout/hProcess9"/>
    <dgm:cxn modelId="{018BF93B-6D37-4D4E-AF83-3CDBEE17E38F}" type="presParOf" srcId="{3CAEE456-2A9E-43BA-AA91-5C443A8B5630}" destId="{04CA75D5-A336-433B-94D3-D55701430297}" srcOrd="1" destOrd="0" presId="urn:microsoft.com/office/officeart/2005/8/layout/hProcess9"/>
    <dgm:cxn modelId="{E44B6764-23EA-417D-985A-B7EBBD1189C8}" type="presParOf" srcId="{3CAEE456-2A9E-43BA-AA91-5C443A8B5630}" destId="{4AF387EC-071A-495C-B3C8-8FD928F3F851}" srcOrd="2" destOrd="0" presId="urn:microsoft.com/office/officeart/2005/8/layout/hProcess9"/>
    <dgm:cxn modelId="{0E577DCC-9C34-401F-8B75-F3AD780A7BF1}" type="presParOf" srcId="{3CAEE456-2A9E-43BA-AA91-5C443A8B5630}" destId="{3BF14AD8-4E61-410E-BD98-650BE33B76F0}" srcOrd="3" destOrd="0" presId="urn:microsoft.com/office/officeart/2005/8/layout/hProcess9"/>
    <dgm:cxn modelId="{B565D461-B469-4A17-9F10-38BA854B8179}" type="presParOf" srcId="{3CAEE456-2A9E-43BA-AA91-5C443A8B5630}" destId="{DE0BD434-849F-4135-AAA4-AFA4E216BFC6}" srcOrd="4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8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E75CDF1-1425-4425-B947-36B2AD341E94}">
      <dsp:nvSpPr>
        <dsp:cNvPr id="0" name=""/>
        <dsp:cNvSpPr/>
      </dsp:nvSpPr>
      <dsp:spPr>
        <a:xfrm>
          <a:off x="342899" y="0"/>
          <a:ext cx="3886200" cy="2743200"/>
        </a:xfrm>
        <a:prstGeom prst="rightArrow">
          <a:avLst/>
        </a:prstGeom>
        <a:gradFill rotWithShape="0">
          <a:gsLst>
            <a:gs pos="0">
              <a:schemeClr val="accent3">
                <a:tint val="40000"/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tint val="40000"/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tint val="40000"/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z="-190500" extrusionH="12700" prstMaterial="plastic">
          <a:bevelT w="50800" h="50800"/>
        </a:sp3d>
      </dsp:spPr>
      <dsp:style>
        <a:lnRef idx="0">
          <a:scrgbClr r="0" g="0" b="0"/>
        </a:lnRef>
        <a:fillRef idx="3">
          <a:scrgbClr r="0" g="0" b="0"/>
        </a:fillRef>
        <a:effectRef idx="0">
          <a:scrgbClr r="0" g="0" b="0"/>
        </a:effectRef>
        <a:fontRef idx="minor"/>
      </dsp:style>
    </dsp:sp>
    <dsp:sp modelId="{757AE223-1256-4756-98B5-071C900A0DA8}">
      <dsp:nvSpPr>
        <dsp:cNvPr id="0" name=""/>
        <dsp:cNvSpPr/>
      </dsp:nvSpPr>
      <dsp:spPr>
        <a:xfrm>
          <a:off x="154930" y="822960"/>
          <a:ext cx="1371600" cy="1097280"/>
        </a:xfrm>
        <a:prstGeom prst="roundRect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t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400" kern="1200"/>
            <a:t>Collect Income</a:t>
          </a:r>
          <a:endParaRPr lang="en-US" sz="1400" kern="1200"/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tr-TR" sz="1100" kern="1200"/>
            <a:t>Salary/ side income</a:t>
          </a:r>
          <a:endParaRPr lang="en-US" sz="1100" kern="1200"/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tr-TR" sz="1100" kern="1200"/>
            <a:t>Set a target amount</a:t>
          </a:r>
          <a:endParaRPr lang="en-US" sz="1100" kern="1200"/>
        </a:p>
      </dsp:txBody>
      <dsp:txXfrm>
        <a:off x="208495" y="876525"/>
        <a:ext cx="1264470" cy="990150"/>
      </dsp:txXfrm>
    </dsp:sp>
    <dsp:sp modelId="{4AF387EC-071A-495C-B3C8-8FD928F3F851}">
      <dsp:nvSpPr>
        <dsp:cNvPr id="0" name=""/>
        <dsp:cNvSpPr/>
      </dsp:nvSpPr>
      <dsp:spPr>
        <a:xfrm>
          <a:off x="1600199" y="822960"/>
          <a:ext cx="1371600" cy="1097280"/>
        </a:xfrm>
        <a:prstGeom prst="roundRect">
          <a:avLst/>
        </a:prstGeom>
        <a:gradFill rotWithShape="0">
          <a:gsLst>
            <a:gs pos="0">
              <a:schemeClr val="accent3">
                <a:hueOff val="2058582"/>
                <a:satOff val="12356"/>
                <a:lumOff val="9413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hueOff val="2058582"/>
                <a:satOff val="12356"/>
                <a:lumOff val="9413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hueOff val="2058582"/>
                <a:satOff val="12356"/>
                <a:lumOff val="9413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t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400" kern="1200"/>
            <a:t>Plan Spending</a:t>
          </a:r>
          <a:endParaRPr lang="en-US" sz="1400" kern="1200"/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tr-TR" sz="1100" kern="1200"/>
            <a:t>Bills</a:t>
          </a:r>
          <a:endParaRPr lang="en-US" sz="1100" kern="1200"/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tr-TR" sz="1100" kern="1200"/>
            <a:t>Daily needs</a:t>
          </a:r>
          <a:endParaRPr lang="en-US" sz="1100" kern="1200"/>
        </a:p>
      </dsp:txBody>
      <dsp:txXfrm>
        <a:off x="1653764" y="876525"/>
        <a:ext cx="1264470" cy="990150"/>
      </dsp:txXfrm>
    </dsp:sp>
    <dsp:sp modelId="{DE0BD434-849F-4135-AAA4-AFA4E216BFC6}">
      <dsp:nvSpPr>
        <dsp:cNvPr id="0" name=""/>
        <dsp:cNvSpPr/>
      </dsp:nvSpPr>
      <dsp:spPr>
        <a:xfrm>
          <a:off x="3045469" y="822960"/>
          <a:ext cx="1371600" cy="1097280"/>
        </a:xfrm>
        <a:prstGeom prst="roundRect">
          <a:avLst/>
        </a:prstGeom>
        <a:gradFill rotWithShape="0">
          <a:gsLst>
            <a:gs pos="0">
              <a:schemeClr val="accent3">
                <a:hueOff val="4117163"/>
                <a:satOff val="24712"/>
                <a:lumOff val="18825"/>
                <a:alphaOff val="0"/>
                <a:satMod val="103000"/>
                <a:lumMod val="102000"/>
                <a:tint val="94000"/>
              </a:schemeClr>
            </a:gs>
            <a:gs pos="50000">
              <a:schemeClr val="accent3">
                <a:hueOff val="4117163"/>
                <a:satOff val="24712"/>
                <a:lumOff val="18825"/>
                <a:alphaOff val="0"/>
                <a:satMod val="110000"/>
                <a:lumMod val="100000"/>
                <a:shade val="100000"/>
              </a:schemeClr>
            </a:gs>
            <a:gs pos="100000">
              <a:schemeClr val="accent3">
                <a:hueOff val="4117163"/>
                <a:satOff val="24712"/>
                <a:lumOff val="18825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plastic">
          <a:bevelT w="120900" h="88900"/>
          <a:bevelB w="88900" h="31750" prst="angle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t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1400" kern="1200"/>
            <a:t>Review &amp; Adjust</a:t>
          </a:r>
          <a:endParaRPr lang="en-US" sz="1400" kern="1200"/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tr-TR" sz="1100" kern="1200"/>
            <a:t>Money left</a:t>
          </a:r>
          <a:endParaRPr lang="en-US" sz="1100" kern="1200"/>
        </a:p>
        <a:p>
          <a:pPr marL="57150" lvl="1" indent="-57150" algn="l" defTabSz="48895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tr-TR" sz="1100" kern="1200"/>
            <a:t>Cut unnecessary spending</a:t>
          </a:r>
          <a:endParaRPr lang="en-US" sz="1100" kern="1200"/>
        </a:p>
      </dsp:txBody>
      <dsp:txXfrm>
        <a:off x="3099034" y="876525"/>
        <a:ext cx="1264470" cy="99015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1">
  <dgm:title val=""/>
  <dgm:desc val=""/>
  <dgm:catLst>
    <dgm:cat type="3D" pri="111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flat" dir="t"/>
    </dgm:scene3d>
    <dgm:sp3d z="1270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alignImgPlace1">
    <dgm:scene3d>
      <a:camera prst="orthographicFront"/>
      <a:lightRig rig="flat" dir="t"/>
    </dgm:scene3d>
    <dgm:sp3d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bgImgPlace1">
    <dgm:scene3d>
      <a:camera prst="orthographicFront"/>
      <a:lightRig rig="flat" dir="t"/>
    </dgm:scene3d>
    <dgm:sp3d z="-190500" prstMaterial="plastic">
      <a:bevelT w="88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/>
    </dgm:style>
  </dgm:styleLbl>
  <dgm:styleLbl name="sibTrans2D1">
    <dgm:scene3d>
      <a:camera prst="orthographicFront"/>
      <a:lightRig rig="flat" dir="t"/>
    </dgm:scene3d>
    <dgm:sp3d z="-80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flat" dir="t"/>
    </dgm:scene3d>
    <dgm:sp3d z="1270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flat" dir="t"/>
    </dgm:scene3d>
    <dgm:sp3d z="-190500" prstMaterial="plastic">
      <a:bevelT w="50800" h="50800"/>
      <a:bevelB w="25400" h="25400" prst="angle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flat" dir="t"/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flat" dir="t"/>
    </dgm:scene3d>
    <dgm:sp3d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flat" dir="t"/>
    </dgm:scene3d>
    <dgm:sp3d z="-10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flat" dir="t"/>
    </dgm:scene3d>
    <dgm:sp3d z="-60000" prstMaterial="plastic">
      <a:bevelT w="120900" h="88900"/>
      <a:bevelB w="88900" h="31750" prst="angle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flat" dir="t"/>
    </dgm:scene3d>
    <dgm:sp3d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FollowNode1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flat" dir="t"/>
    </dgm:scene3d>
    <dgm:sp3d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flat" dir="t"/>
    </dgm:scene3d>
    <dgm:sp3d z="190500" extrusionH="12700" prstMaterial="plastic">
      <a:bevelT w="50800" h="508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flat" dir="t"/>
    </dgm:scene3d>
    <dgm:sp3d z="-190500" extrusionH="12700" prstMaterial="plastic">
      <a:bevelT w="50800" h="508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flat" dir="t"/>
    </dgm:scene3d>
    <dgm:sp3d z="-190500" extrusionH="127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z="190500" prstMaterial="plastic">
      <a:bevelT w="120900" h="88900"/>
      <a:bevelB w="88900" h="31750" prst="angle"/>
    </dgm:sp3d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diagramDrawing" Target="../diagrams/drawing1.xml"/><Relationship Id="rId3" Type="http://schemas.openxmlformats.org/officeDocument/2006/relationships/image" Target="../media/image3.svg"/><Relationship Id="rId7" Type="http://schemas.openxmlformats.org/officeDocument/2006/relationships/diagramColors" Target="../diagrams/colors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diagramQuickStyle" Target="../diagrams/quickStyle1.xml"/><Relationship Id="rId5" Type="http://schemas.openxmlformats.org/officeDocument/2006/relationships/diagramLayout" Target="../diagrams/layout1.xml"/><Relationship Id="rId4" Type="http://schemas.openxmlformats.org/officeDocument/2006/relationships/diagramData" Target="../diagrams/data1.xml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8134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A37F3-856C-3F4B-EC7D-9C8AAEE5EB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1424609</xdr:colOff>
      <xdr:row>2</xdr:row>
      <xdr:rowOff>24849</xdr:rowOff>
    </xdr:from>
    <xdr:to>
      <xdr:col>2</xdr:col>
      <xdr:colOff>26366</xdr:colOff>
      <xdr:row>2</xdr:row>
      <xdr:rowOff>432362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CAA2C-FB99-E6BC-3A50-973BF3F80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4196" y="405849"/>
          <a:ext cx="299692" cy="407513"/>
        </a:xfrm>
        <a:prstGeom prst="rect">
          <a:avLst/>
        </a:prstGeom>
      </xdr:spPr>
    </xdr:pic>
    <xdr:clientData/>
  </xdr:twoCellAnchor>
  <xdr:twoCellAnchor>
    <xdr:from>
      <xdr:col>7</xdr:col>
      <xdr:colOff>49695</xdr:colOff>
      <xdr:row>5</xdr:row>
      <xdr:rowOff>8283</xdr:rowOff>
    </xdr:from>
    <xdr:to>
      <xdr:col>7</xdr:col>
      <xdr:colOff>571500</xdr:colOff>
      <xdr:row>6</xdr:row>
      <xdr:rowOff>16565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9BD4A7F3-4950-43A5-4DE6-20B12FF33954}"/>
            </a:ext>
          </a:extLst>
        </xdr:cNvPr>
        <xdr:cNvSpPr/>
      </xdr:nvSpPr>
      <xdr:spPr>
        <a:xfrm>
          <a:off x="6626086" y="1275522"/>
          <a:ext cx="521805" cy="207065"/>
        </a:xfrm>
        <a:prstGeom prst="leftArrow">
          <a:avLst>
            <a:gd name="adj1" fmla="val 42001"/>
            <a:gd name="adj2" fmla="val 110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525647</xdr:colOff>
      <xdr:row>1</xdr:row>
      <xdr:rowOff>148788</xdr:rowOff>
    </xdr:from>
    <xdr:to>
      <xdr:col>6</xdr:col>
      <xdr:colOff>157984</xdr:colOff>
      <xdr:row>3</xdr:row>
      <xdr:rowOff>38100</xdr:rowOff>
    </xdr:to>
    <xdr:pic>
      <xdr:nvPicPr>
        <xdr:cNvPr id="15" name="Graphic 14" descr="Smiling face outline with solid fill">
          <a:extLst>
            <a:ext uri="{FF2B5EF4-FFF2-40B4-BE49-F238E27FC236}">
              <a16:creationId xmlns:a16="http://schemas.microsoft.com/office/drawing/2014/main" id="{246A6E50-5C5F-3D27-78FE-4545FC912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364347" y="339288"/>
          <a:ext cx="556262" cy="556062"/>
        </a:xfrm>
        <a:prstGeom prst="rect">
          <a:avLst/>
        </a:prstGeom>
      </xdr:spPr>
    </xdr:pic>
    <xdr:clientData/>
  </xdr:twoCellAnchor>
  <xdr:twoCellAnchor>
    <xdr:from>
      <xdr:col>1</xdr:col>
      <xdr:colOff>1581150</xdr:colOff>
      <xdr:row>17</xdr:row>
      <xdr:rowOff>80962</xdr:rowOff>
    </xdr:from>
    <xdr:to>
      <xdr:col>6</xdr:col>
      <xdr:colOff>733425</xdr:colOff>
      <xdr:row>31</xdr:row>
      <xdr:rowOff>157162</xdr:rowOff>
    </xdr:to>
    <xdr:graphicFrame macro="">
      <xdr:nvGraphicFramePr>
        <xdr:cNvPr id="22" name="Diagram 21">
          <a:extLst>
            <a:ext uri="{FF2B5EF4-FFF2-40B4-BE49-F238E27FC236}">
              <a16:creationId xmlns:a16="http://schemas.microsoft.com/office/drawing/2014/main" id="{B834F5D5-B720-1347-31F7-1ED89986D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4" r:lo="rId5" r:qs="rId6" r:cs="rId7"/>
        </a:graphicData>
      </a:graphic>
    </xdr:graphicFrame>
    <xdr:clientData/>
  </xdr:twoCellAnchor>
  <xdr:absoluteAnchor>
    <xdr:pos x="6671895" y="1200150"/>
    <xdr:ext cx="4615229" cy="3572609"/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4D6369F5-ED15-4DD4-AD5A-D8DDE7DEB3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66DC9F9-9C3E-45AF-9E00-37983CE5F245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XWYTS3fgM4ggIlGvAR70J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905B-E95B-4636-863D-328414AE3C59}">
  <dimension ref="B3:G17"/>
  <sheetViews>
    <sheetView tabSelected="1" zoomScaleNormal="100" workbookViewId="0">
      <selection activeCell="B20" sqref="B20"/>
    </sheetView>
  </sheetViews>
  <sheetFormatPr defaultRowHeight="15" x14ac:dyDescent="0.25"/>
  <cols>
    <col min="1" max="1" width="5.140625" customWidth="1"/>
    <col min="2" max="2" width="25.42578125" customWidth="1"/>
    <col min="3" max="3" width="13.5703125" bestFit="1" customWidth="1"/>
    <col min="4" max="4" width="14.85546875" bestFit="1" customWidth="1"/>
    <col min="5" max="5" width="13.5703125" bestFit="1" customWidth="1"/>
    <col min="6" max="6" width="13.85546875" bestFit="1" customWidth="1"/>
    <col min="7" max="7" width="12.140625" bestFit="1" customWidth="1"/>
  </cols>
  <sheetData>
    <row r="3" spans="2:7" ht="37.5" thickBot="1" x14ac:dyDescent="0.75">
      <c r="B3" s="11" t="s">
        <v>14</v>
      </c>
      <c r="C3" s="11"/>
      <c r="D3" s="11"/>
      <c r="E3" s="11"/>
      <c r="F3" s="11"/>
      <c r="G3" s="11"/>
    </row>
    <row r="4" spans="2:7" ht="15.75" thickTop="1" x14ac:dyDescent="0.25"/>
    <row r="5" spans="2:7" ht="16.5" thickBot="1" x14ac:dyDescent="0.3">
      <c r="B5" s="8" t="s">
        <v>1</v>
      </c>
      <c r="C5" s="9">
        <v>45292</v>
      </c>
      <c r="D5" s="9">
        <v>45323</v>
      </c>
      <c r="E5" s="9">
        <v>45717</v>
      </c>
      <c r="F5" s="8" t="s">
        <v>7</v>
      </c>
      <c r="G5" s="10" t="s">
        <v>8</v>
      </c>
    </row>
    <row r="6" spans="2:7" ht="15.75" thickTop="1" x14ac:dyDescent="0.25">
      <c r="B6" t="s">
        <v>2</v>
      </c>
      <c r="C6" s="4">
        <v>48000</v>
      </c>
      <c r="D6" s="4">
        <v>25000</v>
      </c>
      <c r="E6" s="4">
        <v>35000</v>
      </c>
      <c r="F6" s="4">
        <f t="shared" ref="F6:F12" si="0">SUM(C6:E6)</f>
        <v>108000</v>
      </c>
      <c r="G6" s="6">
        <f>F6/$F$12</f>
        <v>0.52735919997656178</v>
      </c>
    </row>
    <row r="7" spans="2:7" x14ac:dyDescent="0.25">
      <c r="B7" t="s">
        <v>3</v>
      </c>
      <c r="C7" s="5">
        <v>1000</v>
      </c>
      <c r="D7" s="5">
        <v>950</v>
      </c>
      <c r="E7" s="5">
        <v>950</v>
      </c>
      <c r="F7" s="5">
        <f t="shared" si="0"/>
        <v>2900</v>
      </c>
      <c r="G7" s="6">
        <f t="shared" ref="G7:G12" si="1">F7/$F$12</f>
        <v>1.4160571110481752E-2</v>
      </c>
    </row>
    <row r="8" spans="2:7" x14ac:dyDescent="0.25">
      <c r="B8" t="s">
        <v>13</v>
      </c>
      <c r="C8" s="5">
        <v>350</v>
      </c>
      <c r="D8" s="5">
        <v>4324</v>
      </c>
      <c r="E8" s="5">
        <v>120</v>
      </c>
      <c r="F8" s="5">
        <f t="shared" si="0"/>
        <v>4794</v>
      </c>
      <c r="G8" s="6">
        <f t="shared" si="1"/>
        <v>2.340888893229294E-2</v>
      </c>
    </row>
    <row r="9" spans="2:7" x14ac:dyDescent="0.25">
      <c r="B9" t="s">
        <v>4</v>
      </c>
      <c r="C9" s="5">
        <v>1500</v>
      </c>
      <c r="D9" s="5">
        <v>1500</v>
      </c>
      <c r="E9" s="5">
        <v>1400</v>
      </c>
      <c r="F9" s="5">
        <f t="shared" si="0"/>
        <v>4400</v>
      </c>
      <c r="G9" s="6">
        <f t="shared" si="1"/>
        <v>2.1485004443489556E-2</v>
      </c>
    </row>
    <row r="10" spans="2:7" x14ac:dyDescent="0.25">
      <c r="B10" t="s">
        <v>5</v>
      </c>
      <c r="C10" s="5">
        <v>22000</v>
      </c>
      <c r="D10" s="5">
        <v>22000</v>
      </c>
      <c r="E10" s="5">
        <v>24000</v>
      </c>
      <c r="F10" s="5">
        <f t="shared" si="0"/>
        <v>68000</v>
      </c>
      <c r="G10" s="6">
        <f t="shared" si="1"/>
        <v>0.33204097776302038</v>
      </c>
    </row>
    <row r="11" spans="2:7" x14ac:dyDescent="0.25">
      <c r="B11" t="s">
        <v>6</v>
      </c>
      <c r="C11" s="5">
        <v>5500</v>
      </c>
      <c r="D11" s="5">
        <v>5850</v>
      </c>
      <c r="E11" s="5">
        <v>5350</v>
      </c>
      <c r="F11" s="5">
        <f t="shared" si="0"/>
        <v>16700</v>
      </c>
      <c r="G11" s="6">
        <f t="shared" si="1"/>
        <v>8.1545357774153546E-2</v>
      </c>
    </row>
    <row r="12" spans="2:7" x14ac:dyDescent="0.25">
      <c r="B12" t="s">
        <v>7</v>
      </c>
      <c r="C12" s="4">
        <f>SUM(C6:C11)</f>
        <v>78350</v>
      </c>
      <c r="D12" s="4">
        <f t="shared" ref="D12:E12" si="2">SUM(D6:D11)</f>
        <v>59624</v>
      </c>
      <c r="E12" s="4">
        <f t="shared" si="2"/>
        <v>66820</v>
      </c>
      <c r="F12" s="4">
        <f t="shared" si="0"/>
        <v>204794</v>
      </c>
      <c r="G12" s="6">
        <f t="shared" si="1"/>
        <v>1</v>
      </c>
    </row>
    <row r="14" spans="2:7" x14ac:dyDescent="0.25">
      <c r="B14" s="7" t="s">
        <v>9</v>
      </c>
      <c r="C14">
        <f>MIN(C6:C11)</f>
        <v>350</v>
      </c>
      <c r="D14">
        <f>MIN(D6:D11)</f>
        <v>950</v>
      </c>
      <c r="E14">
        <f>MIN(E6:E11)</f>
        <v>120</v>
      </c>
      <c r="F14">
        <f>MIN(F6:F11)</f>
        <v>2900</v>
      </c>
      <c r="G14" s="3"/>
    </row>
    <row r="15" spans="2:7" x14ac:dyDescent="0.25">
      <c r="B15" s="7" t="s">
        <v>10</v>
      </c>
      <c r="C15">
        <f>MAX(C6:C11)</f>
        <v>48000</v>
      </c>
      <c r="D15">
        <f>MAX(D6:D11)</f>
        <v>25000</v>
      </c>
      <c r="E15">
        <f>MAX(E6:E11)</f>
        <v>35000</v>
      </c>
      <c r="F15">
        <f>MAX(F6:F11)</f>
        <v>108000</v>
      </c>
    </row>
    <row r="16" spans="2:7" x14ac:dyDescent="0.25">
      <c r="B16" s="7" t="s">
        <v>11</v>
      </c>
      <c r="C16">
        <f>AVERAGE(C6:C11)</f>
        <v>13058.333333333334</v>
      </c>
      <c r="D16">
        <f>AVERAGE(D6:D11)</f>
        <v>9937.3333333333339</v>
      </c>
      <c r="E16">
        <f>AVERAGE(E6:E11)</f>
        <v>11136.666666666666</v>
      </c>
      <c r="F16">
        <f>AVERAGE(F6:F11)</f>
        <v>34132.333333333336</v>
      </c>
    </row>
    <row r="17" spans="2:6" x14ac:dyDescent="0.25">
      <c r="B17" s="7" t="s">
        <v>12</v>
      </c>
      <c r="C17">
        <f>COUNT(C6:C11)</f>
        <v>6</v>
      </c>
      <c r="D17">
        <f>COUNT(D6:D11)</f>
        <v>6</v>
      </c>
      <c r="E17">
        <f>COUNT(E6:E11)</f>
        <v>6</v>
      </c>
      <c r="F17">
        <f>COUNT(F6:F11)</f>
        <v>6</v>
      </c>
    </row>
  </sheetData>
  <mergeCells count="1">
    <mergeCell ref="B3:G3"/>
  </mergeCells>
  <conditionalFormatting sqref="C6:E11">
    <cfRule type="aboveAverage" dxfId="0" priority="1"/>
  </conditionalFormatting>
  <pageMargins left="0.7" right="0.7" top="0.75" bottom="0.75" header="0.3" footer="0.3"/>
  <ignoredErrors>
    <ignoredError sqref="C14:E17 C12:E12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C743-2487-47E6-ADBA-53D754771889}">
  <dimension ref="A1:F15"/>
  <sheetViews>
    <sheetView workbookViewId="0">
      <selection activeCell="F32" sqref="F32"/>
    </sheetView>
  </sheetViews>
  <sheetFormatPr defaultRowHeight="15" x14ac:dyDescent="0.25"/>
  <sheetData>
    <row r="1" spans="1:6" x14ac:dyDescent="0.25">
      <c r="A1" t="s">
        <v>0</v>
      </c>
    </row>
    <row r="3" spans="1:6" x14ac:dyDescent="0.25">
      <c r="A3" t="s">
        <v>1</v>
      </c>
      <c r="B3" s="2">
        <v>45292</v>
      </c>
      <c r="C3" s="2">
        <v>45323</v>
      </c>
      <c r="D3" s="2">
        <v>45717</v>
      </c>
      <c r="E3" t="s">
        <v>7</v>
      </c>
      <c r="F3" s="1" t="s">
        <v>8</v>
      </c>
    </row>
    <row r="4" spans="1:6" x14ac:dyDescent="0.25">
      <c r="A4" t="s">
        <v>2</v>
      </c>
      <c r="B4">
        <v>48000</v>
      </c>
      <c r="C4">
        <v>25000</v>
      </c>
      <c r="D4">
        <v>35000</v>
      </c>
      <c r="E4">
        <f t="shared" ref="E4:E10" si="0">SUM(B4:D4)</f>
        <v>108000</v>
      </c>
      <c r="F4" s="3" t="e">
        <f t="shared" ref="F4:F10" si="1">E4/$F$12</f>
        <v>#DIV/0!</v>
      </c>
    </row>
    <row r="5" spans="1:6" x14ac:dyDescent="0.25">
      <c r="A5" t="s">
        <v>3</v>
      </c>
      <c r="B5">
        <v>1000</v>
      </c>
      <c r="C5">
        <v>950</v>
      </c>
      <c r="D5">
        <v>950</v>
      </c>
      <c r="E5">
        <f t="shared" si="0"/>
        <v>2900</v>
      </c>
      <c r="F5" s="3" t="e">
        <f t="shared" si="1"/>
        <v>#DIV/0!</v>
      </c>
    </row>
    <row r="6" spans="1:6" x14ac:dyDescent="0.25">
      <c r="A6" t="s">
        <v>13</v>
      </c>
      <c r="B6">
        <v>350</v>
      </c>
      <c r="C6">
        <v>4324</v>
      </c>
      <c r="D6">
        <v>120</v>
      </c>
      <c r="E6">
        <f t="shared" si="0"/>
        <v>4794</v>
      </c>
      <c r="F6" s="3" t="e">
        <f t="shared" si="1"/>
        <v>#DIV/0!</v>
      </c>
    </row>
    <row r="7" spans="1:6" x14ac:dyDescent="0.25">
      <c r="A7" t="s">
        <v>4</v>
      </c>
      <c r="B7">
        <v>1500</v>
      </c>
      <c r="C7">
        <v>1500</v>
      </c>
      <c r="D7">
        <v>1400</v>
      </c>
      <c r="E7">
        <f t="shared" si="0"/>
        <v>4400</v>
      </c>
      <c r="F7" s="3" t="e">
        <f t="shared" si="1"/>
        <v>#DIV/0!</v>
      </c>
    </row>
    <row r="8" spans="1:6" x14ac:dyDescent="0.25">
      <c r="A8" t="s">
        <v>5</v>
      </c>
      <c r="B8">
        <v>22000</v>
      </c>
      <c r="C8">
        <v>22000</v>
      </c>
      <c r="D8">
        <v>24000</v>
      </c>
      <c r="E8">
        <f t="shared" si="0"/>
        <v>68000</v>
      </c>
      <c r="F8" s="3" t="e">
        <f t="shared" si="1"/>
        <v>#DIV/0!</v>
      </c>
    </row>
    <row r="9" spans="1:6" x14ac:dyDescent="0.25">
      <c r="A9" t="s">
        <v>6</v>
      </c>
      <c r="B9">
        <v>5500</v>
      </c>
      <c r="C9">
        <v>5850</v>
      </c>
      <c r="D9">
        <v>5350</v>
      </c>
      <c r="E9">
        <f t="shared" si="0"/>
        <v>16700</v>
      </c>
      <c r="F9" s="3" t="e">
        <f t="shared" si="1"/>
        <v>#DIV/0!</v>
      </c>
    </row>
    <row r="10" spans="1:6" x14ac:dyDescent="0.25">
      <c r="A10" t="s">
        <v>7</v>
      </c>
      <c r="B10">
        <f>SUM(B4:B9)</f>
        <v>78350</v>
      </c>
      <c r="C10">
        <f t="shared" ref="C10:D10" si="2">SUM(C4:C9)</f>
        <v>59624</v>
      </c>
      <c r="D10">
        <f t="shared" si="2"/>
        <v>66820</v>
      </c>
      <c r="E10">
        <f t="shared" si="0"/>
        <v>204794</v>
      </c>
      <c r="F10" s="3" t="e">
        <f t="shared" si="1"/>
        <v>#DIV/0!</v>
      </c>
    </row>
    <row r="12" spans="1:6" x14ac:dyDescent="0.25">
      <c r="A12" t="s">
        <v>9</v>
      </c>
      <c r="B12">
        <f>MIN(B4:B9)</f>
        <v>350</v>
      </c>
      <c r="C12">
        <f>MIN(C4:C9)</f>
        <v>950</v>
      </c>
      <c r="D12">
        <f>MIN(D4:D9)</f>
        <v>120</v>
      </c>
      <c r="E12">
        <f>MIN(E4:E9)</f>
        <v>2900</v>
      </c>
      <c r="F12" s="3"/>
    </row>
    <row r="13" spans="1:6" x14ac:dyDescent="0.25">
      <c r="A13" t="s">
        <v>10</v>
      </c>
      <c r="B13">
        <f>MAX(B4:B9)</f>
        <v>48000</v>
      </c>
      <c r="C13">
        <f>MAX(C4:C9)</f>
        <v>25000</v>
      </c>
      <c r="D13">
        <f>MAX(D4:D9)</f>
        <v>35000</v>
      </c>
      <c r="E13">
        <f>MAX(E4:E9)</f>
        <v>108000</v>
      </c>
    </row>
    <row r="14" spans="1:6" x14ac:dyDescent="0.25">
      <c r="A14" t="s">
        <v>11</v>
      </c>
      <c r="B14">
        <f>AVERAGE(B4:B9)</f>
        <v>13058.333333333334</v>
      </c>
      <c r="C14">
        <f>AVERAGE(C4:C9)</f>
        <v>9937.3333333333339</v>
      </c>
      <c r="D14">
        <f>AVERAGE(D4:D9)</f>
        <v>11136.666666666666</v>
      </c>
      <c r="E14">
        <f>AVERAGE(E4:E9)</f>
        <v>34132.333333333336</v>
      </c>
    </row>
    <row r="15" spans="1:6" x14ac:dyDescent="0.25">
      <c r="A15" t="s">
        <v>12</v>
      </c>
      <c r="B15">
        <f>COUNT(B4:B9)</f>
        <v>6</v>
      </c>
      <c r="C15">
        <f>COUNT(C4:C9)</f>
        <v>6</v>
      </c>
      <c r="D15">
        <f>COUNT(D4:D9)</f>
        <v>6</v>
      </c>
      <c r="E15">
        <f>COUNT(E4:E9)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Monthly Budget </vt:lpstr>
      <vt:lpstr>Copy Exercise</vt:lpstr>
      <vt:lpstr>Chart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okyanus aydoğan</dc:creator>
  <cp:lastModifiedBy>okyanus aydoğan</cp:lastModifiedBy>
  <dcterms:created xsi:type="dcterms:W3CDTF">2026-01-05T21:00:01Z</dcterms:created>
  <dcterms:modified xsi:type="dcterms:W3CDTF">2026-01-10T17:34:06Z</dcterms:modified>
</cp:coreProperties>
</file>