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ysis-foundations\excel\"/>
    </mc:Choice>
  </mc:AlternateContent>
  <xr:revisionPtr revIDLastSave="0" documentId="13_ncr:1_{B66C3143-7455-4654-9DD3-1E9FE2D9AB0D}" xr6:coauthVersionLast="47" xr6:coauthVersionMax="47" xr10:uidLastSave="{00000000-0000-0000-0000-000000000000}"/>
  <bookViews>
    <workbookView xWindow="19095" yWindow="0" windowWidth="19410" windowHeight="15585" xr2:uid="{4EC8B933-5C16-44B8-8BD1-3B03B4E7E629}"/>
  </bookViews>
  <sheets>
    <sheet name="Monthly Budget " sheetId="12" r:id="rId1"/>
    <sheet name="Copy Exercis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2" l="1"/>
  <c r="D17" i="12"/>
  <c r="C17" i="12"/>
  <c r="E16" i="12"/>
  <c r="D16" i="12"/>
  <c r="C16" i="12"/>
  <c r="E15" i="12"/>
  <c r="D15" i="12"/>
  <c r="C15" i="12"/>
  <c r="E14" i="12"/>
  <c r="D14" i="12"/>
  <c r="C14" i="12"/>
  <c r="E12" i="12"/>
  <c r="D12" i="12"/>
  <c r="C12" i="12"/>
  <c r="F11" i="12"/>
  <c r="F10" i="12"/>
  <c r="F9" i="12"/>
  <c r="F8" i="12"/>
  <c r="F7" i="12"/>
  <c r="F6" i="12"/>
  <c r="D15" i="3"/>
  <c r="C15" i="3"/>
  <c r="B15" i="3"/>
  <c r="D14" i="3"/>
  <c r="C14" i="3"/>
  <c r="B14" i="3"/>
  <c r="D13" i="3"/>
  <c r="C13" i="3"/>
  <c r="B13" i="3"/>
  <c r="D12" i="3"/>
  <c r="C12" i="3"/>
  <c r="B12" i="3"/>
  <c r="D10" i="3"/>
  <c r="C10" i="3"/>
  <c r="B10" i="3"/>
  <c r="E10" i="3" s="1"/>
  <c r="F10" i="3" s="1"/>
  <c r="E9" i="3"/>
  <c r="F9" i="3" s="1"/>
  <c r="E8" i="3"/>
  <c r="F8" i="3" s="1"/>
  <c r="E7" i="3"/>
  <c r="F7" i="3" s="1"/>
  <c r="E6" i="3"/>
  <c r="F6" i="3" s="1"/>
  <c r="E5" i="3"/>
  <c r="E4" i="3"/>
  <c r="F12" i="12" l="1"/>
  <c r="F17" i="12"/>
  <c r="F15" i="12"/>
  <c r="F14" i="12"/>
  <c r="F16" i="12"/>
  <c r="E12" i="3"/>
  <c r="E13" i="3"/>
  <c r="F5" i="3"/>
  <c r="E15" i="3"/>
  <c r="E14" i="3"/>
  <c r="F4" i="3"/>
  <c r="G12" i="12" l="1"/>
  <c r="G11" i="12"/>
  <c r="G7" i="12"/>
  <c r="G10" i="12"/>
  <c r="G9" i="12"/>
  <c r="G8" i="12"/>
  <c r="G6" i="12"/>
</calcChain>
</file>

<file path=xl/sharedStrings.xml><?xml version="1.0" encoding="utf-8"?>
<sst xmlns="http://schemas.openxmlformats.org/spreadsheetml/2006/main" count="30" uniqueCount="14">
  <si>
    <t>Montlhy Budget</t>
  </si>
  <si>
    <t>Bills</t>
  </si>
  <si>
    <t>Credit Card</t>
  </si>
  <si>
    <t>Water</t>
  </si>
  <si>
    <t>Electric</t>
  </si>
  <si>
    <t>Market</t>
  </si>
  <si>
    <t>Mom's phone</t>
  </si>
  <si>
    <t>Total</t>
  </si>
  <si>
    <t>Percent</t>
  </si>
  <si>
    <t>MIN</t>
  </si>
  <si>
    <t>MAX</t>
  </si>
  <si>
    <t>AVERAGE</t>
  </si>
  <si>
    <t>COUNT</t>
  </si>
  <si>
    <t>Online 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</si>
</sst>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mmmm\-yy;@"/>
    <numFmt numFmtId="165" formatCode="_-[$€-2]\ * #,##0.00_-;\-[$€-2]\ * #,##0.00_-;_-[$€-2]\ * &quot;-&quot;??_-;_-@_-"/>
    <numFmt numFmtId="166" formatCode="0.0%"/>
  </numFmts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24"/>
      <color theme="0"/>
      <name val="Arial Black"/>
      <family val="2"/>
      <charset val="162"/>
    </font>
    <font>
      <b/>
      <sz val="12"/>
      <color theme="0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5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4" borderId="2" applyNumberFormat="0"/>
  </cellStyleXfs>
  <cellXfs count="14">
    <xf numFmtId="0" fontId="0" fillId="0" borderId="0" xfId="0"/>
    <xf numFmtId="17" fontId="0" fillId="0" borderId="0" xfId="0" applyNumberFormat="1"/>
    <xf numFmtId="164" fontId="0" fillId="0" borderId="0" xfId="0" applyNumberFormat="1"/>
    <xf numFmtId="9" fontId="0" fillId="0" borderId="0" xfId="1" applyFont="1"/>
    <xf numFmtId="0" fontId="0" fillId="0" borderId="0" xfId="0" applyFont="1"/>
    <xf numFmtId="165" fontId="0" fillId="0" borderId="0" xfId="0" applyNumberFormat="1"/>
    <xf numFmtId="165" fontId="0" fillId="0" borderId="0" xfId="0" applyNumberFormat="1" applyFont="1"/>
    <xf numFmtId="43" fontId="0" fillId="0" borderId="0" xfId="2" applyFont="1"/>
    <xf numFmtId="166" fontId="0" fillId="0" borderId="0" xfId="1" applyNumberFormat="1" applyFont="1"/>
    <xf numFmtId="0" fontId="2" fillId="3" borderId="0" xfId="0" applyFont="1" applyFill="1" applyAlignment="1">
      <alignment horizontal="right"/>
    </xf>
    <xf numFmtId="0" fontId="4" fillId="4" borderId="2" xfId="3"/>
    <xf numFmtId="164" fontId="4" fillId="4" borderId="2" xfId="3" applyNumberFormat="1"/>
    <xf numFmtId="17" fontId="4" fillId="4" borderId="2" xfId="3" applyNumberFormat="1"/>
    <xf numFmtId="0" fontId="3" fillId="2" borderId="1" xfId="0" applyFont="1" applyFill="1" applyBorder="1" applyAlignment="1">
      <alignment horizontal="center"/>
    </xf>
  </cellXfs>
  <cellStyles count="4">
    <cellStyle name="AwesomeStyle" xfId="3" xr:uid="{65150C0F-7736-4FBF-89DC-FF58D6DB8DAA}"/>
    <cellStyle name="Comma" xfId="2" builtinId="3"/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6DC9F9-9C3E-45AF-9E00-37983CE5F245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XWYTS3fgM4ggIlGvAR70J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905B-E95B-4636-863D-328414AE3C59}">
  <dimension ref="B3:G20"/>
  <sheetViews>
    <sheetView tabSelected="1" zoomScale="115" zoomScaleNormal="115" workbookViewId="0">
      <selection activeCell="G21" sqref="G21"/>
    </sheetView>
  </sheetViews>
  <sheetFormatPr defaultRowHeight="15" x14ac:dyDescent="0.25"/>
  <cols>
    <col min="1" max="1" width="5.140625" customWidth="1"/>
    <col min="2" max="2" width="25.42578125" customWidth="1"/>
    <col min="3" max="3" width="13.5703125" bestFit="1" customWidth="1"/>
    <col min="4" max="4" width="14.85546875" bestFit="1" customWidth="1"/>
    <col min="5" max="5" width="13.5703125" bestFit="1" customWidth="1"/>
    <col min="6" max="6" width="13.85546875" bestFit="1" customWidth="1"/>
    <col min="7" max="7" width="12.140625" bestFit="1" customWidth="1"/>
  </cols>
  <sheetData>
    <row r="3" spans="2:7" ht="37.5" thickBot="1" x14ac:dyDescent="0.75">
      <c r="B3" s="13" t="s">
        <v>0</v>
      </c>
      <c r="C3" s="13"/>
      <c r="D3" s="13"/>
      <c r="E3" s="13"/>
      <c r="F3" s="13"/>
      <c r="G3" s="13"/>
    </row>
    <row r="4" spans="2:7" ht="15.75" thickTop="1" x14ac:dyDescent="0.25">
      <c r="F4" s="4"/>
    </row>
    <row r="5" spans="2:7" ht="16.5" thickBot="1" x14ac:dyDescent="0.3">
      <c r="B5" s="10" t="s">
        <v>1</v>
      </c>
      <c r="C5" s="11">
        <v>45292</v>
      </c>
      <c r="D5" s="11">
        <v>45323</v>
      </c>
      <c r="E5" s="11">
        <v>45717</v>
      </c>
      <c r="F5" s="10" t="s">
        <v>7</v>
      </c>
      <c r="G5" s="12" t="s">
        <v>8</v>
      </c>
    </row>
    <row r="6" spans="2:7" ht="15.75" thickTop="1" x14ac:dyDescent="0.25">
      <c r="B6" t="s">
        <v>2</v>
      </c>
      <c r="C6" s="5">
        <v>48000</v>
      </c>
      <c r="D6" s="5">
        <v>25000</v>
      </c>
      <c r="E6" s="5">
        <v>35000</v>
      </c>
      <c r="F6" s="6">
        <f>SUM(C6:E6)</f>
        <v>108000</v>
      </c>
      <c r="G6" s="8">
        <f>F6/$F$12</f>
        <v>0.52735919997656178</v>
      </c>
    </row>
    <row r="7" spans="2:7" x14ac:dyDescent="0.25">
      <c r="B7" s="4" t="s">
        <v>3</v>
      </c>
      <c r="C7" s="7">
        <v>1000</v>
      </c>
      <c r="D7" s="7">
        <v>950</v>
      </c>
      <c r="E7" s="7">
        <v>950</v>
      </c>
      <c r="F7" s="7">
        <f>SUM(C7:E7)</f>
        <v>2900</v>
      </c>
      <c r="G7" s="8">
        <f t="shared" ref="G7:G12" si="0">F7/$F$12</f>
        <v>1.4160571110481752E-2</v>
      </c>
    </row>
    <row r="8" spans="2:7" x14ac:dyDescent="0.25">
      <c r="B8" s="4" t="s">
        <v>13</v>
      </c>
      <c r="C8" s="7">
        <v>350</v>
      </c>
      <c r="D8" s="7">
        <v>4324</v>
      </c>
      <c r="E8" s="7">
        <v>120</v>
      </c>
      <c r="F8" s="7">
        <f>SUM(C8:E8)</f>
        <v>4794</v>
      </c>
      <c r="G8" s="8">
        <f t="shared" si="0"/>
        <v>2.340888893229294E-2</v>
      </c>
    </row>
    <row r="9" spans="2:7" x14ac:dyDescent="0.25">
      <c r="B9" t="s">
        <v>4</v>
      </c>
      <c r="C9" s="7">
        <v>1500</v>
      </c>
      <c r="D9" s="7">
        <v>1500</v>
      </c>
      <c r="E9" s="7">
        <v>1400</v>
      </c>
      <c r="F9" s="7">
        <f>SUM(C9:E9)</f>
        <v>4400</v>
      </c>
      <c r="G9" s="8">
        <f t="shared" si="0"/>
        <v>2.1485004443489556E-2</v>
      </c>
    </row>
    <row r="10" spans="2:7" x14ac:dyDescent="0.25">
      <c r="B10" t="s">
        <v>5</v>
      </c>
      <c r="C10" s="7">
        <v>22000</v>
      </c>
      <c r="D10" s="7">
        <v>22000</v>
      </c>
      <c r="E10" s="7">
        <v>24000</v>
      </c>
      <c r="F10" s="7">
        <f>SUM(C10:E10)</f>
        <v>68000</v>
      </c>
      <c r="G10" s="8">
        <f t="shared" si="0"/>
        <v>0.33204097776302038</v>
      </c>
    </row>
    <row r="11" spans="2:7" x14ac:dyDescent="0.25">
      <c r="B11" t="s">
        <v>6</v>
      </c>
      <c r="C11" s="7">
        <v>5500</v>
      </c>
      <c r="D11" s="7">
        <v>5850</v>
      </c>
      <c r="E11" s="7">
        <v>5350</v>
      </c>
      <c r="F11" s="7">
        <f>SUM(C11:E11)</f>
        <v>16700</v>
      </c>
      <c r="G11" s="8">
        <f t="shared" si="0"/>
        <v>8.1545357774153546E-2</v>
      </c>
    </row>
    <row r="12" spans="2:7" x14ac:dyDescent="0.25">
      <c r="B12" t="s">
        <v>7</v>
      </c>
      <c r="C12" s="5">
        <f>SUM(C6:C11)</f>
        <v>78350</v>
      </c>
      <c r="D12" s="5">
        <f t="shared" ref="D12:E12" si="1">SUM(D6:D11)</f>
        <v>59624</v>
      </c>
      <c r="E12" s="5">
        <f t="shared" si="1"/>
        <v>66820</v>
      </c>
      <c r="F12" s="6">
        <f>SUM(C12:E12)</f>
        <v>204794</v>
      </c>
      <c r="G12" s="8">
        <f t="shared" si="0"/>
        <v>1</v>
      </c>
    </row>
    <row r="13" spans="2:7" x14ac:dyDescent="0.25">
      <c r="F13" s="4"/>
    </row>
    <row r="14" spans="2:7" x14ac:dyDescent="0.25">
      <c r="B14" s="9" t="s">
        <v>9</v>
      </c>
      <c r="C14">
        <f>MIN(C6:C11)</f>
        <v>350</v>
      </c>
      <c r="D14">
        <f>MIN(D6:D11)</f>
        <v>950</v>
      </c>
      <c r="E14">
        <f>MIN(E6:E11)</f>
        <v>120</v>
      </c>
      <c r="F14" s="4">
        <f>MIN(F6:F11)</f>
        <v>2900</v>
      </c>
      <c r="G14" s="3"/>
    </row>
    <row r="15" spans="2:7" x14ac:dyDescent="0.25">
      <c r="B15" s="9" t="s">
        <v>10</v>
      </c>
      <c r="C15">
        <f>MAX(C6:C11)</f>
        <v>48000</v>
      </c>
      <c r="D15">
        <f>MAX(D6:D11)</f>
        <v>25000</v>
      </c>
      <c r="E15">
        <f>MAX(E6:E11)</f>
        <v>35000</v>
      </c>
      <c r="F15" s="4">
        <f>MAX(F6:F11)</f>
        <v>108000</v>
      </c>
    </row>
    <row r="16" spans="2:7" x14ac:dyDescent="0.25">
      <c r="B16" s="9" t="s">
        <v>11</v>
      </c>
      <c r="C16">
        <f>AVERAGE(C6:C11)</f>
        <v>13058.333333333334</v>
      </c>
      <c r="D16">
        <f>AVERAGE(D6:D11)</f>
        <v>9937.3333333333339</v>
      </c>
      <c r="E16">
        <f>AVERAGE(E6:E11)</f>
        <v>11136.666666666666</v>
      </c>
      <c r="F16" s="4">
        <f>AVERAGE(F6:F11)</f>
        <v>34132.333333333336</v>
      </c>
    </row>
    <row r="17" spans="2:6" s="4" customFormat="1" x14ac:dyDescent="0.25">
      <c r="B17" s="9" t="s">
        <v>12</v>
      </c>
      <c r="C17" s="4">
        <f>COUNT(C6:C11)</f>
        <v>6</v>
      </c>
      <c r="D17" s="4">
        <f>COUNT(D6:D11)</f>
        <v>6</v>
      </c>
      <c r="E17" s="4">
        <f>COUNT(E6:E11)</f>
        <v>6</v>
      </c>
      <c r="F17" s="4">
        <f>COUNT(F6:F11)</f>
        <v>6</v>
      </c>
    </row>
    <row r="20" spans="2:6" s="4" customFormat="1" x14ac:dyDescent="0.25"/>
  </sheetData>
  <mergeCells count="1">
    <mergeCell ref="B3:G3"/>
  </mergeCells>
  <conditionalFormatting sqref="C6:E11">
    <cfRule type="aboveAverage" dxfId="0" priority="1"/>
  </conditionalFormatting>
  <pageMargins left="0.7" right="0.7" top="0.75" bottom="0.75" header="0.3" footer="0.3"/>
  <ignoredErrors>
    <ignoredError sqref="C14:E17 C12:E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C743-2487-47E6-ADBA-53D754771889}">
  <dimension ref="A1:F15"/>
  <sheetViews>
    <sheetView workbookViewId="0">
      <selection activeCell="F32" sqref="F32"/>
    </sheetView>
  </sheetViews>
  <sheetFormatPr defaultRowHeight="15" x14ac:dyDescent="0.25"/>
  <sheetData>
    <row r="1" spans="1:6" x14ac:dyDescent="0.25">
      <c r="A1" t="s">
        <v>0</v>
      </c>
      <c r="E1" s="4"/>
    </row>
    <row r="2" spans="1:6" x14ac:dyDescent="0.25">
      <c r="E2" s="4"/>
    </row>
    <row r="3" spans="1:6" x14ac:dyDescent="0.25">
      <c r="A3" t="s">
        <v>1</v>
      </c>
      <c r="B3" s="2">
        <v>45292</v>
      </c>
      <c r="C3" s="2">
        <v>45323</v>
      </c>
      <c r="D3" s="2">
        <v>45717</v>
      </c>
      <c r="E3" s="4" t="s">
        <v>7</v>
      </c>
      <c r="F3" s="1" t="s">
        <v>8</v>
      </c>
    </row>
    <row r="4" spans="1:6" x14ac:dyDescent="0.25">
      <c r="A4" t="s">
        <v>2</v>
      </c>
      <c r="B4">
        <v>48000</v>
      </c>
      <c r="C4">
        <v>25000</v>
      </c>
      <c r="D4">
        <v>35000</v>
      </c>
      <c r="E4" s="4">
        <f>SUM(B4:D4)</f>
        <v>108000</v>
      </c>
      <c r="F4" s="3" t="e">
        <f>E4/$F$12</f>
        <v>#DIV/0!</v>
      </c>
    </row>
    <row r="5" spans="1:6" x14ac:dyDescent="0.25">
      <c r="A5" s="4" t="s">
        <v>3</v>
      </c>
      <c r="B5" s="4">
        <v>1000</v>
      </c>
      <c r="C5" s="4">
        <v>950</v>
      </c>
      <c r="D5" s="4">
        <v>950</v>
      </c>
      <c r="E5" s="4">
        <f>SUM(B5:D5)</f>
        <v>2900</v>
      </c>
      <c r="F5" s="3" t="e">
        <f>E5/$F$12</f>
        <v>#DIV/0!</v>
      </c>
    </row>
    <row r="6" spans="1:6" x14ac:dyDescent="0.25">
      <c r="A6" s="4" t="s">
        <v>13</v>
      </c>
      <c r="B6" s="4">
        <v>350</v>
      </c>
      <c r="C6" s="4">
        <v>4324</v>
      </c>
      <c r="D6" s="4">
        <v>120</v>
      </c>
      <c r="E6" s="4">
        <f>SUM(B6:D6)</f>
        <v>4794</v>
      </c>
      <c r="F6" s="3" t="e">
        <f>E6/$F$12</f>
        <v>#DIV/0!</v>
      </c>
    </row>
    <row r="7" spans="1:6" x14ac:dyDescent="0.25">
      <c r="A7" t="s">
        <v>4</v>
      </c>
      <c r="B7">
        <v>1500</v>
      </c>
      <c r="C7">
        <v>1500</v>
      </c>
      <c r="D7">
        <v>1400</v>
      </c>
      <c r="E7" s="4">
        <f>SUM(B7:D7)</f>
        <v>4400</v>
      </c>
      <c r="F7" s="3" t="e">
        <f>E7/$F$12</f>
        <v>#DIV/0!</v>
      </c>
    </row>
    <row r="8" spans="1:6" x14ac:dyDescent="0.25">
      <c r="A8" t="s">
        <v>5</v>
      </c>
      <c r="B8">
        <v>22000</v>
      </c>
      <c r="C8">
        <v>22000</v>
      </c>
      <c r="D8">
        <v>24000</v>
      </c>
      <c r="E8" s="4">
        <f>SUM(B8:D8)</f>
        <v>68000</v>
      </c>
      <c r="F8" s="3" t="e">
        <f>E8/$F$12</f>
        <v>#DIV/0!</v>
      </c>
    </row>
    <row r="9" spans="1:6" x14ac:dyDescent="0.25">
      <c r="A9" t="s">
        <v>6</v>
      </c>
      <c r="B9">
        <v>5500</v>
      </c>
      <c r="C9">
        <v>5850</v>
      </c>
      <c r="D9">
        <v>5350</v>
      </c>
      <c r="E9" s="4">
        <f>SUM(B9:D9)</f>
        <v>16700</v>
      </c>
      <c r="F9" s="3" t="e">
        <f>E9/$F$12</f>
        <v>#DIV/0!</v>
      </c>
    </row>
    <row r="10" spans="1:6" x14ac:dyDescent="0.25">
      <c r="A10" t="s">
        <v>7</v>
      </c>
      <c r="B10">
        <f>SUM(B4:B9)</f>
        <v>78350</v>
      </c>
      <c r="C10">
        <f t="shared" ref="C10:D10" si="0">SUM(C4:C9)</f>
        <v>59624</v>
      </c>
      <c r="D10">
        <f t="shared" si="0"/>
        <v>66820</v>
      </c>
      <c r="E10" s="4">
        <f>SUM(B10:D10)</f>
        <v>204794</v>
      </c>
      <c r="F10" s="3" t="e">
        <f>E10/$F$12</f>
        <v>#DIV/0!</v>
      </c>
    </row>
    <row r="11" spans="1:6" x14ac:dyDescent="0.25">
      <c r="E11" s="4"/>
    </row>
    <row r="12" spans="1:6" x14ac:dyDescent="0.25">
      <c r="A12" t="s">
        <v>9</v>
      </c>
      <c r="B12">
        <f>MIN(B4:B9)</f>
        <v>350</v>
      </c>
      <c r="C12">
        <f>MIN(C4:C9)</f>
        <v>950</v>
      </c>
      <c r="D12">
        <f>MIN(D4:D9)</f>
        <v>120</v>
      </c>
      <c r="E12" s="4">
        <f>MIN(E4:E9)</f>
        <v>2900</v>
      </c>
      <c r="F12" s="3"/>
    </row>
    <row r="13" spans="1:6" x14ac:dyDescent="0.25">
      <c r="A13" t="s">
        <v>10</v>
      </c>
      <c r="B13">
        <f>MAX(B4:B9)</f>
        <v>48000</v>
      </c>
      <c r="C13">
        <f>MAX(C4:C9)</f>
        <v>25000</v>
      </c>
      <c r="D13">
        <f>MAX(D4:D9)</f>
        <v>35000</v>
      </c>
      <c r="E13" s="4">
        <f>MAX(E4:E9)</f>
        <v>108000</v>
      </c>
    </row>
    <row r="14" spans="1:6" x14ac:dyDescent="0.25">
      <c r="A14" t="s">
        <v>11</v>
      </c>
      <c r="B14">
        <f>AVERAGE(B4:B9)</f>
        <v>13058.333333333334</v>
      </c>
      <c r="C14">
        <f>AVERAGE(C4:C9)</f>
        <v>9937.3333333333339</v>
      </c>
      <c r="D14">
        <f>AVERAGE(D4:D9)</f>
        <v>11136.666666666666</v>
      </c>
      <c r="E14" s="4">
        <f>AVERAGE(E4:E9)</f>
        <v>34132.333333333336</v>
      </c>
    </row>
    <row r="15" spans="1:6" x14ac:dyDescent="0.25">
      <c r="A15" t="s">
        <v>12</v>
      </c>
      <c r="B15">
        <f>COUNT(B4:B9)</f>
        <v>6</v>
      </c>
      <c r="C15">
        <f>COUNT(C4:C9)</f>
        <v>6</v>
      </c>
      <c r="D15">
        <f>COUNT(D4:D9)</f>
        <v>6</v>
      </c>
      <c r="E15" s="4">
        <f>COUNT(E4:E9)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Budget </vt:lpstr>
      <vt:lpstr>Copy 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okyanus aydoğan</dc:creator>
  <cp:lastModifiedBy>okyanus aydoğan</cp:lastModifiedBy>
  <dcterms:created xsi:type="dcterms:W3CDTF">2026-01-05T21:00:01Z</dcterms:created>
  <dcterms:modified xsi:type="dcterms:W3CDTF">2026-01-09T08:57:53Z</dcterms:modified>
</cp:coreProperties>
</file>